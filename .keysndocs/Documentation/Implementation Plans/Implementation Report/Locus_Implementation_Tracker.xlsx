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pec Coverage" sheetId="4" state="visible" r:id="rId4"/>
    <sheet xmlns:r="http://schemas.openxmlformats.org/officeDocument/2006/relationships" name="_meta" sheetId="5" state="hidden" r:id="rId5"/>
  </sheets>
  <definedNames>
    <definedName name="_xlnm._FilterDatabase" localSheetId="0" hidden="1">'Feature Tracker'!$A$1:$P$126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38" customWidth="1" min="3" max="3"/>
    <col width="14" customWidth="1" min="4" max="4"/>
    <col width="14" customWidth="1" min="5" max="5"/>
    <col width="26" customWidth="1" min="6" max="6"/>
    <col width="18" customWidth="1" min="7" max="7"/>
    <col width="10" customWidth="1" min="8" max="8"/>
    <col width="16" customWidth="1" min="9" max="9"/>
    <col width="10" customWidth="1" min="10" max="10"/>
    <col width="16" customWidth="1" min="11" max="11"/>
    <col width="12" customWidth="1" min="12" max="12"/>
    <col width="56" customWidth="1" min="13" max="13"/>
    <col width="28" customWidth="1" min="14" max="14"/>
    <col width="44" customWidth="1" min="15" max="15"/>
    <col width="56" customWidth="1" min="16" max="16"/>
  </cols>
  <sheetData>
    <row r="1">
      <c r="A1" s="1" t="inlineStr">
        <is>
          <t>ID</t>
        </is>
      </c>
      <c r="B1" s="1" t="inlineStr">
        <is>
          <t>Spec section(s)</t>
        </is>
      </c>
      <c r="C1" s="1" t="inlineStr">
        <is>
          <t>Feature</t>
        </is>
      </c>
      <c r="D1" s="1" t="inlineStr">
        <is>
          <t>Category</t>
        </is>
      </c>
      <c r="E1" s="1" t="inlineStr">
        <is>
          <t>Verdict</t>
        </is>
      </c>
      <c r="F1" s="1" t="inlineStr">
        <is>
          <t>Source Codebase / Stealing From</t>
        </is>
      </c>
      <c r="G1" s="1" t="inlineStr">
        <is>
          <t>Provider Interface</t>
        </is>
      </c>
      <c r="H1" s="1" t="inlineStr">
        <is>
          <t>Layer</t>
        </is>
      </c>
      <c r="I1" s="1" t="inlineStr">
        <is>
          <t>Verified Level</t>
        </is>
      </c>
      <c r="J1" s="1" t="inlineStr">
        <is>
          <t>Verified %</t>
        </is>
      </c>
      <c r="K1" s="1" t="inlineStr">
        <is>
          <t>Claimed % (old tracker, unverified)</t>
        </is>
      </c>
      <c r="L1" s="1" t="inlineStr">
        <is>
          <t>Claim minus Evidence</t>
        </is>
      </c>
      <c r="M1" s="1" t="inlineStr">
        <is>
          <t>Remaining Work (derived)</t>
        </is>
      </c>
      <c r="N1" s="1" t="inlineStr">
        <is>
          <t>Flags</t>
        </is>
      </c>
      <c r="O1" s="1" t="inlineStr">
        <is>
          <t>Evidence Files</t>
        </is>
      </c>
      <c r="P1" s="1" t="inlineStr">
        <is>
          <t>Why Not Higher</t>
        </is>
      </c>
    </row>
    <row r="2">
      <c r="A2" t="inlineStr">
        <is>
          <t>F-0001</t>
        </is>
      </c>
      <c r="B2" s="2" t="inlineStr">
        <is>
          <t>§1.1: Pi Agent Loop (Foundation)</t>
        </is>
      </c>
      <c r="C2" s="2" t="inlineStr">
        <is>
          <t>Pi Agent Loop</t>
        </is>
      </c>
      <c r="D2" t="inlineStr">
        <is>
          <t>Foundation</t>
        </is>
      </c>
      <c r="E2" t="inlineStr">
        <is>
          <t>KEEP-PI</t>
        </is>
      </c>
      <c r="F2" t="inlineStr">
        <is>
          <t>Pi agent-loop.ts</t>
        </is>
      </c>
      <c r="H2" t="inlineStr">
        <is>
          <t>pi</t>
        </is>
      </c>
      <c r="I2" s="3" t="inlineStr">
        <is>
          <t>INHERITED_OK</t>
        </is>
      </c>
      <c r="J2" t="n">
        <v>100</v>
      </c>
      <c r="K2" t="n">
        <v>100</v>
      </c>
      <c r="L2" t="n">
        <v>0</v>
      </c>
      <c r="M2" s="2" t="inlineStr"/>
      <c r="N2" s="2" t="inlineStr"/>
      <c r="O2" s="2" t="inlineStr">
        <is>
          <t>packages/agent/src/agent-loop.ts</t>
        </is>
      </c>
      <c r="P2" s="2" t="inlineStr"/>
    </row>
    <row r="3">
      <c r="A3" t="inlineStr">
        <is>
          <t>F-0002</t>
        </is>
      </c>
      <c r="B3" s="2" t="inlineStr">
        <is>
          <t>§1.2: System Prompt Construction</t>
        </is>
      </c>
      <c r="C3" s="2" t="inlineStr">
        <is>
          <t>System Prompt Construction</t>
        </is>
      </c>
      <c r="D3" t="inlineStr">
        <is>
          <t>Foundation</t>
        </is>
      </c>
      <c r="E3" t="inlineStr">
        <is>
          <t>AUGMENT</t>
        </is>
      </c>
      <c r="F3" t="inlineStr">
        <is>
          <t>Pi system-prompt.ts</t>
        </is>
      </c>
      <c r="H3" t="inlineStr">
        <is>
          <t>extension</t>
        </is>
      </c>
      <c r="I3" s="4" t="inlineStr">
        <is>
          <t>NO_EVIDENCE</t>
        </is>
      </c>
      <c r="J3" t="n">
        <v>0</v>
      </c>
      <c r="K3" t="n">
        <v>100</v>
      </c>
      <c r="L3" t="n">
        <v>100</v>
      </c>
      <c r="M3" s="2" t="inlineStr">
        <is>
          <t>Files claimed but absent: locus-extension/src/hooks/index.ts. Create them or correct the path.</t>
        </is>
      </c>
      <c r="N3" s="2" t="inlineStr">
        <is>
          <t>CLAIMED_FILES_MISSING, OVERCLAIM</t>
        </is>
      </c>
      <c r="O3" s="2" t="inlineStr">
        <is>
          <t>locus-extension/src/hooks/index.ts</t>
        </is>
      </c>
      <c r="P3" s="2" t="inlineStr">
        <is>
          <t>declared files missing: locus-extension/src/hooks/index.ts</t>
        </is>
      </c>
    </row>
    <row r="4">
      <c r="A4" t="inlineStr">
        <is>
          <t>F-0003</t>
        </is>
      </c>
      <c r="B4" s="2" t="inlineStr">
        <is>
          <t>§1.3: Tool System</t>
        </is>
      </c>
      <c r="C4" s="2" t="inlineStr">
        <is>
          <t>Tool System (13 Canonical Tools)</t>
        </is>
      </c>
      <c r="D4" t="inlineStr">
        <is>
          <t>Foundation</t>
        </is>
      </c>
      <c r="E4" t="inlineStr">
        <is>
          <t>AUGMENT</t>
        </is>
      </c>
      <c r="F4" t="inlineStr">
        <is>
          <t>Pi tools/index.ts + Locus</t>
        </is>
      </c>
      <c r="G4" t="inlineStr">
        <is>
          <t>AgentTool</t>
        </is>
      </c>
      <c r="H4" t="inlineStr">
        <is>
          <t>extension</t>
        </is>
      </c>
      <c r="I4" s="4" t="inlineStr">
        <is>
          <t>NO_EVIDENCE</t>
        </is>
      </c>
      <c r="J4" t="n">
        <v>0</v>
      </c>
      <c r="K4" t="n">
        <v>100</v>
      </c>
      <c r="L4" t="n">
        <v>100</v>
      </c>
      <c r="M4" s="2" t="inlineStr">
        <is>
          <t>Files claimed but absent: locus-extension/src/tools/index.ts. Create them or correct the path.</t>
        </is>
      </c>
      <c r="N4" s="2" t="inlineStr">
        <is>
          <t>CLAIMED_FILES_MISSING, OVERCLAIM</t>
        </is>
      </c>
      <c r="O4" s="2" t="inlineStr">
        <is>
          <t>locus-extension/src/tools/index.ts</t>
        </is>
      </c>
      <c r="P4" s="2" t="inlineStr">
        <is>
          <t>declared files missing: locus-extension/src/tools/index.ts</t>
        </is>
      </c>
    </row>
    <row r="5">
      <c r="A5" t="inlineStr">
        <is>
          <t>F-0004</t>
        </is>
      </c>
      <c r="B5" s="2" t="inlineStr">
        <is>
          <t>§1.4: Model Management</t>
        </is>
      </c>
      <c r="C5" s="2" t="inlineStr">
        <is>
          <t>Model Management &amp; Escalation</t>
        </is>
      </c>
      <c r="D5" t="inlineStr">
        <is>
          <t>Foundation</t>
        </is>
      </c>
      <c r="E5" t="inlineStr">
        <is>
          <t>AUGMENT</t>
        </is>
      </c>
      <c r="F5" t="inlineStr">
        <is>
          <t>Pi model-resolver.ts</t>
        </is>
      </c>
      <c r="H5" t="inlineStr">
        <is>
          <t>sidecar</t>
        </is>
      </c>
      <c r="I5" s="4" t="inlineStr">
        <is>
          <t>NO_EVIDENCE</t>
        </is>
      </c>
      <c r="J5" t="n">
        <v>0</v>
      </c>
      <c r="K5" t="n">
        <v>85</v>
      </c>
      <c r="L5" t="n">
        <v>85</v>
      </c>
      <c r="M5" s="2" t="inlineStr">
        <is>
          <t>Files claimed but absent: sidecar/life_os.py. Create them or correct the path.</t>
        </is>
      </c>
      <c r="N5" s="2" t="inlineStr">
        <is>
          <t>CLAIMED_FILES_MISSING, OVERCLAIM</t>
        </is>
      </c>
      <c r="O5" s="2" t="inlineStr">
        <is>
          <t>sidecar/life_os.py</t>
        </is>
      </c>
      <c r="P5" s="2" t="inlineStr">
        <is>
          <t>declared files missing: sidecar/life_os.py</t>
        </is>
      </c>
    </row>
    <row r="6">
      <c r="A6" t="inlineStr">
        <is>
          <t>F-0005</t>
        </is>
      </c>
      <c r="B6" s="2" t="inlineStr">
        <is>
          <t>§1.5: Extension Lifecycle (25+ Events)</t>
        </is>
      </c>
      <c r="C6" s="2" t="inlineStr">
        <is>
          <t>Extension Lifecycle</t>
        </is>
      </c>
      <c r="D6" t="inlineStr">
        <is>
          <t>Foundation</t>
        </is>
      </c>
      <c r="E6" t="inlineStr">
        <is>
          <t>KEEP-PI</t>
        </is>
      </c>
      <c r="F6" t="inlineStr">
        <is>
          <t>Pi agent-session.ts</t>
        </is>
      </c>
      <c r="H6" t="inlineStr">
        <is>
          <t>extension</t>
        </is>
      </c>
      <c r="I6" s="4" t="inlineStr">
        <is>
          <t>NO_EVIDENCE</t>
        </is>
      </c>
      <c r="J6" t="n">
        <v>0</v>
      </c>
      <c r="K6" t="n">
        <v>100</v>
      </c>
      <c r="L6" t="n">
        <v>100</v>
      </c>
      <c r="M6" s="2" t="inlineStr">
        <is>
          <t>Files claimed but absent: locus-extension/index.ts. Create them or correct the path.</t>
        </is>
      </c>
      <c r="N6" s="2" t="inlineStr">
        <is>
          <t>CLAIMED_FILES_MISSING, OVERCLAIM</t>
        </is>
      </c>
      <c r="O6" s="2" t="inlineStr">
        <is>
          <t>locus-extension/index.ts</t>
        </is>
      </c>
      <c r="P6" s="2" t="inlineStr">
        <is>
          <t>declared files missing: locus-extension/index.ts</t>
        </is>
      </c>
    </row>
    <row r="7">
      <c r="A7" t="inlineStr">
        <is>
          <t>F-0006</t>
        </is>
      </c>
      <c r="B7" s="2" t="inlineStr">
        <is>
          <t>§1.6: Context Window Management</t>
        </is>
      </c>
      <c r="C7" s="2" t="inlineStr">
        <is>
          <t>Context Window Management</t>
        </is>
      </c>
      <c r="D7" t="inlineStr">
        <is>
          <t>Foundation</t>
        </is>
      </c>
      <c r="E7" t="inlineStr">
        <is>
          <t>AUGMENT</t>
        </is>
      </c>
      <c r="F7" t="inlineStr">
        <is>
          <t>Pi compaction/ + Headroom</t>
        </is>
      </c>
      <c r="G7" t="inlineStr">
        <is>
          <t>CompressionProvider</t>
        </is>
      </c>
      <c r="H7" t="inlineStr">
        <is>
          <t>sidecar</t>
        </is>
      </c>
      <c r="I7" s="4" t="inlineStr">
        <is>
          <t>NO_EVIDENCE</t>
        </is>
      </c>
      <c r="J7" t="n">
        <v>0</v>
      </c>
      <c r="K7" t="n">
        <v>70</v>
      </c>
      <c r="L7" t="n">
        <v>70</v>
      </c>
      <c r="M7" s="2" t="inlineStr">
        <is>
          <t>Files claimed but absent: sidecar/context/headroom_adapter.py. Create them or correct the path.</t>
        </is>
      </c>
      <c r="N7" s="2" t="inlineStr">
        <is>
          <t>CLAIMED_FILES_MISSING, OVERCLAIM</t>
        </is>
      </c>
      <c r="O7" s="2" t="inlineStr">
        <is>
          <t>sidecar/context/headroom_adapter.py</t>
        </is>
      </c>
      <c r="P7" s="2" t="inlineStr">
        <is>
          <t>declared files missing: sidecar/context/headroom_adapter.py</t>
        </is>
      </c>
    </row>
    <row r="8">
      <c r="A8" t="inlineStr">
        <is>
          <t>F-0007</t>
        </is>
      </c>
      <c r="B8" s="2" t="inlineStr">
        <is>
          <t>§1.7 + §10.1: Post-Turn Background Review</t>
        </is>
      </c>
      <c r="C8" s="2" t="inlineStr">
        <is>
          <t>Post-Turn Review</t>
        </is>
      </c>
      <c r="D8" t="inlineStr">
        <is>
          <t>Foundation</t>
        </is>
      </c>
      <c r="E8" t="inlineStr">
        <is>
          <t>AUGMENT</t>
        </is>
      </c>
      <c r="F8" t="inlineStr">
        <is>
          <t>Hermes background_review.py</t>
        </is>
      </c>
      <c r="G8" t="inlineStr">
        <is>
          <t>PostTurnProvider</t>
        </is>
      </c>
      <c r="H8" t="inlineStr">
        <is>
          <t>sidecar</t>
        </is>
      </c>
      <c r="I8" s="4" t="inlineStr">
        <is>
          <t>NO_EVIDENCE</t>
        </is>
      </c>
      <c r="J8" t="n">
        <v>0</v>
      </c>
      <c r="K8" t="n">
        <v>80</v>
      </c>
      <c r="L8" t="n">
        <v>80</v>
      </c>
      <c r="M8" s="2" t="inlineStr">
        <is>
          <t>Files claimed but absent: sidecar/learning/reflector.py. Create them or correct the path.</t>
        </is>
      </c>
      <c r="N8" s="2" t="inlineStr">
        <is>
          <t>CLAIMED_FILES_MISSING, OVERCLAIM</t>
        </is>
      </c>
      <c r="O8" s="2" t="inlineStr">
        <is>
          <t>sidecar/learning/reflector.py</t>
        </is>
      </c>
      <c r="P8" s="2" t="inlineStr">
        <is>
          <t>declared files missing: sidecar/learning/reflector.py</t>
        </is>
      </c>
    </row>
    <row r="9">
      <c r="A9" t="inlineStr">
        <is>
          <t>F-0008</t>
        </is>
      </c>
      <c r="B9" s="2" t="inlineStr">
        <is>
          <t>§1.8: Stream Diagnostics</t>
        </is>
      </c>
      <c r="C9" s="2" t="inlineStr">
        <is>
          <t>Stream Diagnostics</t>
        </is>
      </c>
      <c r="D9" t="inlineStr">
        <is>
          <t>Foundation</t>
        </is>
      </c>
      <c r="E9" t="inlineStr">
        <is>
          <t>KEEP-PI</t>
        </is>
      </c>
      <c r="F9" t="inlineStr">
        <is>
          <t>Pi Agent built-in</t>
        </is>
      </c>
      <c r="H9" t="inlineStr">
        <is>
          <t>pi</t>
        </is>
      </c>
      <c r="I9" s="3" t="inlineStr">
        <is>
          <t>INHERITED_OK</t>
        </is>
      </c>
      <c r="J9" t="n">
        <v>100</v>
      </c>
      <c r="K9" t="n">
        <v>100</v>
      </c>
      <c r="L9" t="n">
        <v>0</v>
      </c>
      <c r="M9" s="2" t="inlineStr"/>
      <c r="N9" s="2" t="inlineStr"/>
      <c r="O9" s="2" t="inlineStr">
        <is>
          <t>packages/agent/</t>
        </is>
      </c>
      <c r="P9" s="2" t="inlineStr"/>
    </row>
    <row r="10">
      <c r="A10" t="inlineStr">
        <is>
          <t>F-0009</t>
        </is>
      </c>
      <c r="B10" s="2" t="inlineStr">
        <is>
          <t>§1.9: Rate Limit Tracking</t>
        </is>
      </c>
      <c r="C10" s="2" t="inlineStr">
        <is>
          <t>Rate Limit Tracking</t>
        </is>
      </c>
      <c r="D10" t="inlineStr">
        <is>
          <t>Foundation</t>
        </is>
      </c>
      <c r="E10" t="inlineStr">
        <is>
          <t>AUGMENT</t>
        </is>
      </c>
      <c r="F10" t="inlineStr">
        <is>
          <t>Pi + Locus</t>
        </is>
      </c>
      <c r="H10" t="inlineStr">
        <is>
          <t>sidecar</t>
        </is>
      </c>
      <c r="I10" s="4" t="inlineStr">
        <is>
          <t>NO_EVIDENCE</t>
        </is>
      </c>
      <c r="J10" t="n">
        <v>0</v>
      </c>
      <c r="K10" t="n">
        <v>80</v>
      </c>
      <c r="L10" t="n">
        <v>80</v>
      </c>
      <c r="M10" s="2" t="inlineStr">
        <is>
          <t>Files claimed but absent: sidecar/rate_limiter.py. Create them or correct the path.</t>
        </is>
      </c>
      <c r="N10" s="2" t="inlineStr">
        <is>
          <t>CLAIMED_FILES_MISSING, OVERCLAIM</t>
        </is>
      </c>
      <c r="O10" s="2" t="inlineStr">
        <is>
          <t>sidecar/rate_limiter.py</t>
        </is>
      </c>
      <c r="P10" s="2" t="inlineStr">
        <is>
          <t>declared files missing: sidecar/rate_limiter.py</t>
        </is>
      </c>
    </row>
    <row r="11">
      <c r="A11" t="inlineStr">
        <is>
          <t>F-0010</t>
        </is>
      </c>
      <c r="B11" s="2" t="inlineStr">
        <is>
          <t>§1.10: Usage / Cost Tracking</t>
        </is>
      </c>
      <c r="C11" s="2" t="inlineStr">
        <is>
          <t>Usage/Cost Tracking</t>
        </is>
      </c>
      <c r="D11" t="inlineStr">
        <is>
          <t>Foundation</t>
        </is>
      </c>
      <c r="E11" t="inlineStr">
        <is>
          <t>AUGMENT</t>
        </is>
      </c>
      <c r="F11" t="inlineStr">
        <is>
          <t>Pi + Locus</t>
        </is>
      </c>
      <c r="H11" t="inlineStr">
        <is>
          <t>sidecar</t>
        </is>
      </c>
      <c r="I11" s="4" t="inlineStr">
        <is>
          <t>NO_EVIDENCE</t>
        </is>
      </c>
      <c r="J11" t="n">
        <v>0</v>
      </c>
      <c r="K11" t="n">
        <v>75</v>
      </c>
      <c r="L11" t="n">
        <v>75</v>
      </c>
      <c r="M11" s="2" t="inlineStr">
        <is>
          <t>Files claimed but absent: sidecar/cost_tracker.py. Create them or correct the path.</t>
        </is>
      </c>
      <c r="N11" s="2" t="inlineStr">
        <is>
          <t>CLAIMED_FILES_MISSING, OVERCLAIM</t>
        </is>
      </c>
      <c r="O11" s="2" t="inlineStr">
        <is>
          <t>sidecar/cost_tracker.py</t>
        </is>
      </c>
      <c r="P11" s="2" t="inlineStr">
        <is>
          <t>declared files missing: sidecar/cost_tracker.py</t>
        </is>
      </c>
    </row>
    <row r="12">
      <c r="A12" t="inlineStr">
        <is>
          <t>F-0011</t>
        </is>
      </c>
      <c r="B12" s="2" t="inlineStr">
        <is>
          <t>§1.11: Title Generation</t>
        </is>
      </c>
      <c r="C12" s="2" t="inlineStr">
        <is>
          <t>Title Generation</t>
        </is>
      </c>
      <c r="D12" t="inlineStr">
        <is>
          <t>Foundation</t>
        </is>
      </c>
      <c r="E12" t="inlineStr">
        <is>
          <t>AUGMENT</t>
        </is>
      </c>
      <c r="F12" t="inlineStr">
        <is>
          <t>Pi + Locus</t>
        </is>
      </c>
      <c r="H12" t="inlineStr">
        <is>
          <t>sidecar</t>
        </is>
      </c>
      <c r="I12" s="4" t="inlineStr">
        <is>
          <t>NO_EVIDENCE</t>
        </is>
      </c>
      <c r="J12" t="n">
        <v>0</v>
      </c>
      <c r="K12" t="n">
        <v>75</v>
      </c>
      <c r="L12" t="n">
        <v>75</v>
      </c>
      <c r="M12" s="2" t="inlineStr">
        <is>
          <t>Files claimed but absent: sidecar/title_generator.py. Create them or correct the path.</t>
        </is>
      </c>
      <c r="N12" s="2" t="inlineStr">
        <is>
          <t>CLAIMED_FILES_MISSING, OVERCLAIM</t>
        </is>
      </c>
      <c r="O12" s="2" t="inlineStr">
        <is>
          <t>sidecar/title_generator.py</t>
        </is>
      </c>
      <c r="P12" s="2" t="inlineStr">
        <is>
          <t>declared files missing: sidecar/title_generator.py</t>
        </is>
      </c>
    </row>
    <row r="13">
      <c r="A13" t="inlineStr">
        <is>
          <t>F-0012</t>
        </is>
      </c>
      <c r="B13" s="2" t="inlineStr">
        <is>
          <t>§1.12: Onboarding Flow</t>
        </is>
      </c>
      <c r="C13" s="2" t="inlineStr">
        <is>
          <t>Onboarding Flow</t>
        </is>
      </c>
      <c r="D13" t="inlineStr">
        <is>
          <t>Foundation</t>
        </is>
      </c>
      <c r="E13" t="inlineStr">
        <is>
          <t>AUGMENT</t>
        </is>
      </c>
      <c r="F13" t="inlineStr">
        <is>
          <t>Pi + Locus CLI</t>
        </is>
      </c>
      <c r="H13" t="inlineStr">
        <is>
          <t>sidecar</t>
        </is>
      </c>
      <c r="I13" s="4" t="inlineStr">
        <is>
          <t>NO_EVIDENCE</t>
        </is>
      </c>
      <c r="J13" t="n">
        <v>0</v>
      </c>
      <c r="K13" t="n">
        <v>100</v>
      </c>
      <c r="L13" t="n">
        <v>100</v>
      </c>
      <c r="M13" s="2" t="inlineStr">
        <is>
          <t>Files claimed but absent: locus_cli/setup.py. Create them or correct the path.</t>
        </is>
      </c>
      <c r="N13" s="2" t="inlineStr">
        <is>
          <t>CLAIMED_FILES_MISSING, OVERCLAIM</t>
        </is>
      </c>
      <c r="O13" s="2" t="inlineStr">
        <is>
          <t>locus_cli/setup.py</t>
        </is>
      </c>
      <c r="P13" s="2" t="inlineStr">
        <is>
          <t>declared files missing: locus_cli/setup.py</t>
        </is>
      </c>
    </row>
    <row r="14">
      <c r="A14" t="inlineStr">
        <is>
          <t>F-0013</t>
        </is>
      </c>
      <c r="B14" s="2" t="inlineStr">
        <is>
          <t>§1.13: Agent Initialization</t>
        </is>
      </c>
      <c r="C14" s="2" t="inlineStr">
        <is>
          <t>Agent Initialization</t>
        </is>
      </c>
      <c r="D14" t="inlineStr">
        <is>
          <t>Foundation</t>
        </is>
      </c>
      <c r="E14" t="inlineStr">
        <is>
          <t>KEEP-PI</t>
        </is>
      </c>
      <c r="F14" t="inlineStr">
        <is>
          <t>Pi Agent</t>
        </is>
      </c>
      <c r="H14" t="inlineStr">
        <is>
          <t>pi</t>
        </is>
      </c>
      <c r="I14" s="3" t="inlineStr">
        <is>
          <t>INHERITED_OK</t>
        </is>
      </c>
      <c r="J14" t="n">
        <v>100</v>
      </c>
      <c r="K14" t="n">
        <v>100</v>
      </c>
      <c r="L14" t="n">
        <v>0</v>
      </c>
      <c r="M14" s="2" t="inlineStr"/>
      <c r="N14" s="2" t="inlineStr"/>
      <c r="O14" s="2" t="inlineStr">
        <is>
          <t>packages/agent/</t>
        </is>
      </c>
      <c r="P14" s="2" t="inlineStr"/>
    </row>
    <row r="15">
      <c r="A15" t="inlineStr">
        <is>
          <t>F-0014</t>
        </is>
      </c>
      <c r="B15" s="2" t="inlineStr">
        <is>
          <t>§2.1: 30+ LLM Providers</t>
        </is>
      </c>
      <c r="C15" s="2" t="inlineStr">
        <is>
          <t>30+ LLM Providers</t>
        </is>
      </c>
      <c r="D15" t="inlineStr">
        <is>
          <t>LLM Providers</t>
        </is>
      </c>
      <c r="E15" t="inlineStr">
        <is>
          <t>KEEP-PI</t>
        </is>
      </c>
      <c r="F15" t="inlineStr">
        <is>
          <t>Pi model-registry.ts</t>
        </is>
      </c>
      <c r="H15" t="inlineStr">
        <is>
          <t>pi</t>
        </is>
      </c>
      <c r="I15" s="3" t="inlineStr">
        <is>
          <t>INHERITED_OK</t>
        </is>
      </c>
      <c r="J15" t="n">
        <v>100</v>
      </c>
      <c r="K15" t="n">
        <v>100</v>
      </c>
      <c r="L15" t="n">
        <v>0</v>
      </c>
      <c r="M15" s="2" t="inlineStr"/>
      <c r="N15" s="2" t="inlineStr"/>
      <c r="O15" s="2" t="inlineStr">
        <is>
          <t>packages/ai/</t>
        </is>
      </c>
      <c r="P15" s="2" t="inlineStr"/>
    </row>
    <row r="16">
      <c r="A16" t="inlineStr">
        <is>
          <t>F-0015</t>
        </is>
      </c>
      <c r="B16" s="2" t="inlineStr">
        <is>
          <t>§2.2: OAuth Flows</t>
        </is>
      </c>
      <c r="C16" s="2" t="inlineStr">
        <is>
          <t>OAuth Flows</t>
        </is>
      </c>
      <c r="D16" t="inlineStr">
        <is>
          <t>LLM Providers</t>
        </is>
      </c>
      <c r="E16" t="inlineStr">
        <is>
          <t>KEEP-PI</t>
        </is>
      </c>
      <c r="F16" t="inlineStr">
        <is>
          <t>Pi Agent</t>
        </is>
      </c>
      <c r="H16" t="inlineStr">
        <is>
          <t>pi</t>
        </is>
      </c>
      <c r="I16" s="3" t="inlineStr">
        <is>
          <t>INHERITED_OK</t>
        </is>
      </c>
      <c r="J16" t="n">
        <v>100</v>
      </c>
      <c r="K16" t="n">
        <v>100</v>
      </c>
      <c r="L16" t="n">
        <v>0</v>
      </c>
      <c r="M16" s="2" t="inlineStr"/>
      <c r="N16" s="2" t="inlineStr"/>
      <c r="O16" s="2" t="inlineStr">
        <is>
          <t>packages/ai/</t>
        </is>
      </c>
      <c r="P16" s="2" t="inlineStr"/>
    </row>
    <row r="17">
      <c r="A17" t="inlineStr">
        <is>
          <t>F-0016</t>
        </is>
      </c>
      <c r="B17" s="2" t="inlineStr">
        <is>
          <t>§2.3: Custom / Local Models</t>
        </is>
      </c>
      <c r="C17" s="2" t="inlineStr">
        <is>
          <t>Custom/Local Models</t>
        </is>
      </c>
      <c r="D17" t="inlineStr">
        <is>
          <t>LLM Providers</t>
        </is>
      </c>
      <c r="E17" t="inlineStr">
        <is>
          <t>KEEP-PI</t>
        </is>
      </c>
      <c r="F17" t="inlineStr">
        <is>
          <t>Pi Agent</t>
        </is>
      </c>
      <c r="H17" t="inlineStr">
        <is>
          <t>pi</t>
        </is>
      </c>
      <c r="I17" s="3" t="inlineStr">
        <is>
          <t>INHERITED_OK</t>
        </is>
      </c>
      <c r="J17" t="n">
        <v>100</v>
      </c>
      <c r="K17" t="n">
        <v>100</v>
      </c>
      <c r="L17" t="n">
        <v>0</v>
      </c>
      <c r="M17" s="2" t="inlineStr"/>
      <c r="N17" s="2" t="inlineStr"/>
      <c r="O17" s="2" t="inlineStr">
        <is>
          <t>packages/ai/</t>
        </is>
      </c>
      <c r="P17" s="2" t="inlineStr"/>
    </row>
    <row r="18">
      <c r="A18" t="inlineStr">
        <is>
          <t>F-0017</t>
        </is>
      </c>
      <c r="B18" s="2" t="inlineStr">
        <is>
          <t>§2.4: Provider Registry</t>
        </is>
      </c>
      <c r="C18" s="2" t="inlineStr">
        <is>
          <t>Provider Registry</t>
        </is>
      </c>
      <c r="D18" t="inlineStr">
        <is>
          <t>LLM Providers</t>
        </is>
      </c>
      <c r="E18" t="inlineStr">
        <is>
          <t>KEEP-PI</t>
        </is>
      </c>
      <c r="F18" t="inlineStr">
        <is>
          <t>Pi Agent</t>
        </is>
      </c>
      <c r="H18" t="inlineStr">
        <is>
          <t>pi</t>
        </is>
      </c>
      <c r="I18" s="3" t="inlineStr">
        <is>
          <t>INHERITED_OK</t>
        </is>
      </c>
      <c r="J18" t="n">
        <v>100</v>
      </c>
      <c r="K18" t="n">
        <v>100</v>
      </c>
      <c r="L18" t="n">
        <v>0</v>
      </c>
      <c r="M18" s="2" t="inlineStr"/>
      <c r="N18" s="2" t="inlineStr"/>
      <c r="O18" s="2" t="inlineStr">
        <is>
          <t>packages/ai/</t>
        </is>
      </c>
      <c r="P18" s="2" t="inlineStr"/>
    </row>
    <row r="19">
      <c r="A19" t="inlineStr">
        <is>
          <t>F-0018</t>
        </is>
      </c>
      <c r="B19" s="2" t="inlineStr">
        <is>
          <t>§2.5: Model Selection</t>
        </is>
      </c>
      <c r="C19" s="2" t="inlineStr">
        <is>
          <t>Model Selection</t>
        </is>
      </c>
      <c r="D19" t="inlineStr">
        <is>
          <t>LLM Providers</t>
        </is>
      </c>
      <c r="E19" t="inlineStr">
        <is>
          <t>KEEP-PI</t>
        </is>
      </c>
      <c r="F19" t="inlineStr">
        <is>
          <t>Pi Agent</t>
        </is>
      </c>
      <c r="H19" t="inlineStr">
        <is>
          <t>pi</t>
        </is>
      </c>
      <c r="I19" s="3" t="inlineStr">
        <is>
          <t>INHERITED_OK</t>
        </is>
      </c>
      <c r="J19" t="n">
        <v>100</v>
      </c>
      <c r="K19" t="n">
        <v>100</v>
      </c>
      <c r="L19" t="n">
        <v>0</v>
      </c>
      <c r="M19" s="2" t="inlineStr"/>
      <c r="N19" s="2" t="inlineStr"/>
      <c r="O19" s="2" t="inlineStr">
        <is>
          <t>packages/ai/</t>
        </is>
      </c>
      <c r="P19" s="2" t="inlineStr"/>
    </row>
    <row r="20">
      <c r="A20" t="inlineStr">
        <is>
          <t>F-0019</t>
        </is>
      </c>
      <c r="B20" s="2" t="inlineStr">
        <is>
          <t>§3.1: File Read/Write/Edit; §3.2: Shell / Bash; §3.3: Grep / Search; §3.4: List / Find; §3.5: Web Search; §3.6: Web Fetch</t>
        </is>
      </c>
      <c r="C20" s="2" t="inlineStr">
        <is>
          <t>File/Shell/Search Tools</t>
        </is>
      </c>
      <c r="D20" t="inlineStr">
        <is>
          <t>Built-in Tools</t>
        </is>
      </c>
      <c r="E20" t="inlineStr">
        <is>
          <t>KEEP-PI</t>
        </is>
      </c>
      <c r="F20" t="inlineStr">
        <is>
          <t>Pi tools/*</t>
        </is>
      </c>
      <c r="H20" t="inlineStr">
        <is>
          <t>pi</t>
        </is>
      </c>
      <c r="I20" s="3" t="inlineStr">
        <is>
          <t>INHERITED_OK</t>
        </is>
      </c>
      <c r="J20" t="n">
        <v>100</v>
      </c>
      <c r="K20" t="n">
        <v>100</v>
      </c>
      <c r="L20" t="n">
        <v>0</v>
      </c>
      <c r="M20" s="2" t="inlineStr"/>
      <c r="N20" s="2" t="inlineStr"/>
      <c r="O20" s="2" t="inlineStr">
        <is>
          <t>packages/coding-agent/src/core/tools/</t>
        </is>
      </c>
      <c r="P20" s="2" t="inlineStr"/>
    </row>
    <row r="21">
      <c r="A21" t="inlineStr">
        <is>
          <t>F-0020</t>
        </is>
      </c>
      <c r="B21" s="2" t="inlineStr">
        <is>
          <t>§3.7 + §11.5: Coding Harness Delegation</t>
        </is>
      </c>
      <c r="C21" s="2" t="inlineStr">
        <is>
          <t>Harness Delegation</t>
        </is>
      </c>
      <c r="D21" t="inlineStr">
        <is>
          <t>Built-in Tools</t>
        </is>
      </c>
      <c r="E21" t="inlineStr">
        <is>
          <t>MULTI-PROVIDER</t>
        </is>
      </c>
      <c r="F21" t="inlineStr">
        <is>
          <t>Pi + Hermes + Locus</t>
        </is>
      </c>
      <c r="G21" t="inlineStr">
        <is>
          <t>HarnessProvider</t>
        </is>
      </c>
      <c r="H21" t="inlineStr">
        <is>
          <t>sidecar</t>
        </is>
      </c>
      <c r="I21" s="4" t="inlineStr">
        <is>
          <t>NO_EVIDENCE</t>
        </is>
      </c>
      <c r="J21" t="n">
        <v>0</v>
      </c>
      <c r="K21" t="n">
        <v>65</v>
      </c>
      <c r="L21" t="n">
        <v>65</v>
      </c>
      <c r="M21" s="2" t="inlineStr">
        <is>
          <t>Files claimed but absent: sidecar/inter_harness_bridge.py. Create them or correct the path.</t>
        </is>
      </c>
      <c r="N21" s="2" t="inlineStr">
        <is>
          <t>CLAIMED_FILES_MISSING, OVERCLAIM</t>
        </is>
      </c>
      <c r="O21" s="2" t="inlineStr">
        <is>
          <t>sidecar/inter_harness_bridge.py</t>
        </is>
      </c>
      <c r="P21" s="2" t="inlineStr">
        <is>
          <t>declared files missing: sidecar/inter_harness_bridge.py</t>
        </is>
      </c>
    </row>
    <row r="22">
      <c r="A22" t="inlineStr">
        <is>
          <t>F-0021</t>
        </is>
      </c>
      <c r="B22" s="2" t="inlineStr">
        <is>
          <t>§4.1-4.2: Graph-Native Memory (Neo4j Agent Memory)</t>
        </is>
      </c>
      <c r="C22" s="2" t="inlineStr">
        <is>
          <t>Neo4j Agent Memory (POLE+O)</t>
        </is>
      </c>
      <c r="D22" t="inlineStr">
        <is>
          <t>Memory</t>
        </is>
      </c>
      <c r="E22" t="inlineStr">
        <is>
          <t>KEEP-PREBUILT</t>
        </is>
      </c>
      <c r="F22" t="inlineStr">
        <is>
          <t>neo4j-labs/agent-memory</t>
        </is>
      </c>
      <c r="G22" t="inlineStr">
        <is>
          <t>MemoryProvider</t>
        </is>
      </c>
      <c r="H22" t="inlineStr">
        <is>
          <t>sidecar</t>
        </is>
      </c>
      <c r="I22" s="4" t="inlineStr">
        <is>
          <t>NO_EVIDENCE</t>
        </is>
      </c>
      <c r="J22" t="n">
        <v>0</v>
      </c>
      <c r="K22" t="n">
        <v>80</v>
      </c>
      <c r="L22" t="n">
        <v>80</v>
      </c>
      <c r="M22" s="2" t="inlineStr">
        <is>
          <t>Files claimed but absent: sidecar/neo4j_memory.py. Create them or correct the path.</t>
        </is>
      </c>
      <c r="N22" s="2" t="inlineStr">
        <is>
          <t>CLAIMED_FILES_MISSING, OVERCLAIM</t>
        </is>
      </c>
      <c r="O22" s="2" t="inlineStr">
        <is>
          <t>sidecar/neo4j_memory.py</t>
        </is>
      </c>
      <c r="P22" s="2" t="inlineStr">
        <is>
          <t>declared files missing: sidecar/neo4j_memory.py</t>
        </is>
      </c>
    </row>
    <row r="23">
      <c r="A23" t="inlineStr">
        <is>
          <t>F-0022</t>
        </is>
      </c>
      <c r="B23" s="2" t="inlineStr">
        <is>
          <t>§4.10: Holographic Reduced Representations (HRR Memory Binding)</t>
        </is>
      </c>
      <c r="C23" s="2" t="inlineStr">
        <is>
          <t>Holographic HRR</t>
        </is>
      </c>
      <c r="D23" t="inlineStr">
        <is>
          <t>Memory</t>
        </is>
      </c>
      <c r="E23" t="inlineStr">
        <is>
          <t>LOCUS-NEW</t>
        </is>
      </c>
      <c r="F23" t="inlineStr">
        <is>
          <t>Locus design spec</t>
        </is>
      </c>
      <c r="H23" t="inlineStr">
        <is>
          <t>sidecar</t>
        </is>
      </c>
      <c r="I23" s="4" t="inlineStr">
        <is>
          <t>NO_EVIDENCE</t>
        </is>
      </c>
      <c r="J23" t="n">
        <v>0</v>
      </c>
      <c r="K23" t="n">
        <v>30</v>
      </c>
      <c r="L23" t="n">
        <v>30</v>
      </c>
      <c r="M23" s="2" t="inlineStr">
        <is>
          <t>Files claimed but absent: sidecar/holographic/. Create them or correct the path.</t>
        </is>
      </c>
      <c r="N23" s="2" t="inlineStr">
        <is>
          <t>CLAIMED_FILES_MISSING, OVERCLAIM</t>
        </is>
      </c>
      <c r="O23" s="2" t="inlineStr">
        <is>
          <t>sidecar/holographic/</t>
        </is>
      </c>
      <c r="P23" s="2" t="inlineStr">
        <is>
          <t>declared files missing: sidecar/holographic/</t>
        </is>
      </c>
    </row>
    <row r="24">
      <c r="A24" t="inlineStr">
        <is>
          <t>F-0023</t>
        </is>
      </c>
      <c r="B24" s="2" t="inlineStr">
        <is>
          <t>§4.12: STDP Reinforcement (Spike-Timing-Dependent Plasticity)</t>
        </is>
      </c>
      <c r="C24" s="2" t="inlineStr">
        <is>
          <t>STDP Reinforcement</t>
        </is>
      </c>
      <c r="D24" t="inlineStr">
        <is>
          <t>Memory</t>
        </is>
      </c>
      <c r="E24" t="inlineStr">
        <is>
          <t>LOCUS-NEW</t>
        </is>
      </c>
      <c r="F24" t="inlineStr">
        <is>
          <t>Locus design spec</t>
        </is>
      </c>
      <c r="H24" t="inlineStr">
        <is>
          <t>sidecar</t>
        </is>
      </c>
      <c r="I24" s="4" t="inlineStr">
        <is>
          <t>NO_EVIDENCE</t>
        </is>
      </c>
      <c r="J24" t="n">
        <v>0</v>
      </c>
      <c r="K24" t="n">
        <v>40</v>
      </c>
      <c r="L24" t="n">
        <v>40</v>
      </c>
      <c r="M24" s="2" t="inlineStr">
        <is>
          <t>Files claimed but absent: sidecar/patterns/hebbian.py. Create them or correct the path.</t>
        </is>
      </c>
      <c r="N24" s="2" t="inlineStr">
        <is>
          <t>CLAIMED_FILES_MISSING, OVERCLAIM</t>
        </is>
      </c>
      <c r="O24" s="2" t="inlineStr">
        <is>
          <t>sidecar/patterns/hebbian.py</t>
        </is>
      </c>
      <c r="P24" s="2" t="inlineStr">
        <is>
          <t>declared files missing: sidecar/patterns/hebbian.py</t>
        </is>
      </c>
    </row>
    <row r="25">
      <c r="A25" t="inlineStr">
        <is>
          <t>F-0024</t>
        </is>
      </c>
      <c r="B25" s="2" t="inlineStr">
        <is>
          <t>§4.13: Spaced Repetition Memory Consolidation (FSRS / SM-2)</t>
        </is>
      </c>
      <c r="C25" s="2" t="inlineStr">
        <is>
          <t>Spaced Repetition</t>
        </is>
      </c>
      <c r="D25" t="inlineStr">
        <is>
          <t>Memory</t>
        </is>
      </c>
      <c r="E25" t="inlineStr">
        <is>
          <t>LOCUS-NEW</t>
        </is>
      </c>
      <c r="F25" t="inlineStr">
        <is>
          <t>Locus design spec</t>
        </is>
      </c>
      <c r="H25" t="inlineStr">
        <is>
          <t>sidecar</t>
        </is>
      </c>
      <c r="I25" s="4" t="inlineStr">
        <is>
          <t>NO_EVIDENCE</t>
        </is>
      </c>
      <c r="J25" t="n">
        <v>0</v>
      </c>
      <c r="K25" t="n">
        <v>60</v>
      </c>
      <c r="L25" t="n">
        <v>60</v>
      </c>
      <c r="M25" s="2" t="inlineStr">
        <is>
          <t>Files claimed but absent: sidecar/spaced_rep.py. Create them or correct the path.</t>
        </is>
      </c>
      <c r="N25" s="2" t="inlineStr">
        <is>
          <t>CLAIMED_FILES_MISSING, OVERCLAIM</t>
        </is>
      </c>
      <c r="O25" s="2" t="inlineStr">
        <is>
          <t>sidecar/spaced_rep.py</t>
        </is>
      </c>
      <c r="P25" s="2" t="inlineStr">
        <is>
          <t>declared files missing: sidecar/spaced_rep.py</t>
        </is>
      </c>
    </row>
    <row r="26">
      <c r="A26" t="inlineStr">
        <is>
          <t>F-0025</t>
        </is>
      </c>
      <c r="B26" s="2" t="inlineStr">
        <is>
          <t>§4.14: Project-Specific Memory Decay Engine</t>
        </is>
      </c>
      <c r="C26" s="2" t="inlineStr">
        <is>
          <t>Project Memory Decay</t>
        </is>
      </c>
      <c r="D26" t="inlineStr">
        <is>
          <t>Memory</t>
        </is>
      </c>
      <c r="E26" t="inlineStr">
        <is>
          <t>LOCUS-NEW</t>
        </is>
      </c>
      <c r="F26" t="inlineStr">
        <is>
          <t>Locus design spec</t>
        </is>
      </c>
      <c r="H26" t="inlineStr">
        <is>
          <t>unknown</t>
        </is>
      </c>
      <c r="I26" s="4" t="inlineStr">
        <is>
          <t>NO_EVIDENCE</t>
        </is>
      </c>
      <c r="J26" t="n">
        <v>0</v>
      </c>
      <c r="K26" t="n">
        <v>25</v>
      </c>
      <c r="L26" t="n">
        <v>25</v>
      </c>
      <c r="M26" s="2" t="inlineStr">
        <is>
          <t>Name the files this feature lives in (evidence.files).</t>
        </is>
      </c>
      <c r="N26" s="2" t="inlineStr">
        <is>
          <t>NO_FILES_NAMED, OVERCLAIM</t>
        </is>
      </c>
      <c r="O26" s="2" t="inlineStr"/>
      <c r="P26" s="2" t="inlineStr">
        <is>
          <t>no evidence files declared</t>
        </is>
      </c>
    </row>
    <row r="27">
      <c r="A27" t="inlineStr">
        <is>
          <t>F-0026</t>
        </is>
      </c>
      <c r="B27" s="2" t="inlineStr">
        <is>
          <t>§4.17: Token Compression (Headroom CCR)</t>
        </is>
      </c>
      <c r="C27" s="2" t="inlineStr">
        <is>
          <t>Headroom CCR</t>
        </is>
      </c>
      <c r="D27" t="inlineStr">
        <is>
          <t>Memory</t>
        </is>
      </c>
      <c r="E27" t="inlineStr">
        <is>
          <t>KEEP-PREBUILT</t>
        </is>
      </c>
      <c r="F27" t="inlineStr">
        <is>
          <t>headroomlabs-ai/headroom</t>
        </is>
      </c>
      <c r="G27" t="inlineStr">
        <is>
          <t>CompressionProvider</t>
        </is>
      </c>
      <c r="H27" t="inlineStr">
        <is>
          <t>sidecar</t>
        </is>
      </c>
      <c r="I27" s="4" t="inlineStr">
        <is>
          <t>NO_EVIDENCE</t>
        </is>
      </c>
      <c r="J27" t="n">
        <v>0</v>
      </c>
      <c r="K27" t="n">
        <v>50</v>
      </c>
      <c r="L27" t="n">
        <v>50</v>
      </c>
      <c r="M27" s="2" t="inlineStr">
        <is>
          <t>Files claimed but absent: sidecar/context/headroom_adapter.py. Create them or correct the path.</t>
        </is>
      </c>
      <c r="N27" s="2" t="inlineStr">
        <is>
          <t>CLAIMED_FILES_MISSING, OVERCLAIM</t>
        </is>
      </c>
      <c r="O27" s="2" t="inlineStr">
        <is>
          <t>sidecar/context/headroom_adapter.py</t>
        </is>
      </c>
      <c r="P27" s="2" t="inlineStr">
        <is>
          <t>declared files missing: sidecar/context/headroom_adapter.py</t>
        </is>
      </c>
    </row>
    <row r="28">
      <c r="A28" t="inlineStr">
        <is>
          <t>F-0027</t>
        </is>
      </c>
      <c r="B28" s="2" t="inlineStr">
        <is>
          <t>§5.1-5.8: Session Management &amp; Telegram Bridge</t>
        </is>
      </c>
      <c r="C28" s="2" t="inlineStr">
        <is>
          <t>Session Management</t>
        </is>
      </c>
      <c r="D28" t="inlineStr">
        <is>
          <t>Sessions</t>
        </is>
      </c>
      <c r="E28" t="inlineStr">
        <is>
          <t>AUGMENT</t>
        </is>
      </c>
      <c r="F28" t="inlineStr">
        <is>
          <t>Pi session-manager.ts + Locus</t>
        </is>
      </c>
      <c r="H28" t="inlineStr">
        <is>
          <t>sidecar</t>
        </is>
      </c>
      <c r="I28" s="4" t="inlineStr">
        <is>
          <t>NO_EVIDENCE</t>
        </is>
      </c>
      <c r="J28" t="n">
        <v>0</v>
      </c>
      <c r="K28" t="n">
        <v>80</v>
      </c>
      <c r="L28" t="n">
        <v>80</v>
      </c>
      <c r="M28" s="2" t="inlineStr">
        <is>
          <t>Files claimed but absent: sidecar/memory.py, sidecar/session_export.py. Create them or correct the path.</t>
        </is>
      </c>
      <c r="N28" s="2" t="inlineStr">
        <is>
          <t>CLAIMED_FILES_MISSING, OVERCLAIM</t>
        </is>
      </c>
      <c r="O28" s="2" t="inlineStr">
        <is>
          <t>sidecar/memory.py, sidecar/session_export.py</t>
        </is>
      </c>
      <c r="P28" s="2" t="inlineStr">
        <is>
          <t>declared files missing: sidecar/memory.py, sidecar/session_export.py</t>
        </is>
      </c>
    </row>
    <row r="29">
      <c r="A29" t="inlineStr">
        <is>
          <t>F-0028</t>
        </is>
      </c>
      <c r="B29" s="2" t="inlineStr">
        <is>
          <t>§6.2: Dynamic Context References (@file, @symbol, @git, @diff)</t>
        </is>
      </c>
      <c r="C29" s="2" t="inlineStr">
        <is>
          <t>Context References</t>
        </is>
      </c>
      <c r="D29" t="inlineStr">
        <is>
          <t>Context</t>
        </is>
      </c>
      <c r="E29" t="inlineStr">
        <is>
          <t>AUGMENT</t>
        </is>
      </c>
      <c r="F29" t="inlineStr">
        <is>
          <t>Pi context-references.ts</t>
        </is>
      </c>
      <c r="H29" t="inlineStr">
        <is>
          <t>unknown</t>
        </is>
      </c>
      <c r="I29" s="4" t="inlineStr">
        <is>
          <t>NO_EVIDENCE</t>
        </is>
      </c>
      <c r="J29" t="n">
        <v>0</v>
      </c>
      <c r="K29" t="n">
        <v>40</v>
      </c>
      <c r="L29" t="n">
        <v>40</v>
      </c>
      <c r="M29" s="2" t="inlineStr">
        <is>
          <t>Name the files this feature lives in (evidence.files).</t>
        </is>
      </c>
      <c r="N29" s="2" t="inlineStr">
        <is>
          <t>NO_FILES_NAMED, OVERCLAIM</t>
        </is>
      </c>
      <c r="O29" s="2" t="inlineStr"/>
      <c r="P29" s="2" t="inlineStr">
        <is>
          <t>no evidence files declared</t>
        </is>
      </c>
    </row>
    <row r="30">
      <c r="A30" t="inlineStr">
        <is>
          <t>F-0029</t>
        </is>
      </c>
      <c r="B30" s="2" t="inlineStr">
        <is>
          <t>§6.3: Coding Context Engine (Repo Map, AST Index, Active Diff)</t>
        </is>
      </c>
      <c r="C30" s="2" t="inlineStr">
        <is>
          <t>Coding Context</t>
        </is>
      </c>
      <c r="D30" t="inlineStr">
        <is>
          <t>Context</t>
        </is>
      </c>
      <c r="E30" t="inlineStr">
        <is>
          <t>AUGMENT</t>
        </is>
      </c>
      <c r="F30" t="inlineStr">
        <is>
          <t>Pi coding-context.ts</t>
        </is>
      </c>
      <c r="H30" t="inlineStr">
        <is>
          <t>unknown</t>
        </is>
      </c>
      <c r="I30" s="4" t="inlineStr">
        <is>
          <t>NO_EVIDENCE</t>
        </is>
      </c>
      <c r="J30" t="n">
        <v>0</v>
      </c>
      <c r="K30" t="n">
        <v>90</v>
      </c>
      <c r="L30" t="n">
        <v>90</v>
      </c>
      <c r="M30" s="2" t="inlineStr">
        <is>
          <t>Name the files this feature lives in (evidence.files).</t>
        </is>
      </c>
      <c r="N30" s="2" t="inlineStr">
        <is>
          <t>NO_FILES_NAMED, OVERCLAIM</t>
        </is>
      </c>
      <c r="O30" s="2" t="inlineStr"/>
      <c r="P30" s="2" t="inlineStr">
        <is>
          <t>no evidence files declared</t>
        </is>
      </c>
    </row>
    <row r="31">
      <c r="A31" t="inlineStr">
        <is>
          <t>F-0030</t>
        </is>
      </c>
      <c r="B31" s="2" t="inlineStr">
        <is>
          <t>§7.1-7.9: Terminal Interface &amp; Footer Widget</t>
        </is>
      </c>
      <c r="C31" s="2" t="inlineStr">
        <is>
          <t>TUI / Dashboard</t>
        </is>
      </c>
      <c r="D31" t="inlineStr">
        <is>
          <t>Interface</t>
        </is>
      </c>
      <c r="E31" t="inlineStr">
        <is>
          <t>AUGMENT</t>
        </is>
      </c>
      <c r="F31" t="inlineStr">
        <is>
          <t>Pi TUI + Locus dashboard</t>
        </is>
      </c>
      <c r="H31" t="inlineStr">
        <is>
          <t>sidecar</t>
        </is>
      </c>
      <c r="I31" s="4" t="inlineStr">
        <is>
          <t>NO_EVIDENCE</t>
        </is>
      </c>
      <c r="J31" t="n">
        <v>0</v>
      </c>
      <c r="K31" t="n">
        <v>55</v>
      </c>
      <c r="L31" t="n">
        <v>55</v>
      </c>
      <c r="M31" s="2" t="inlineStr">
        <is>
          <t>Files claimed but absent: locus_cli/curses_ui.py, sidecar/display/dashboard.py. Create them or correct the path.</t>
        </is>
      </c>
      <c r="N31" s="2" t="inlineStr">
        <is>
          <t>CLAIMED_FILES_MISSING, OVERCLAIM</t>
        </is>
      </c>
      <c r="O31" s="2" t="inlineStr">
        <is>
          <t>locus_cli/curses_ui.py, sidecar/display/dashboard.py</t>
        </is>
      </c>
      <c r="P31" s="2" t="inlineStr">
        <is>
          <t>declared files missing: locus_cli/curses_ui.py, sidecar/display/dashboard.py</t>
        </is>
      </c>
    </row>
    <row r="32">
      <c r="A32" t="inlineStr">
        <is>
          <t>F-0031</t>
        </is>
      </c>
      <c r="B32" s="2" t="inlineStr">
        <is>
          <t>§8.1-8.10: CLI Commands</t>
        </is>
      </c>
      <c r="C32" s="2" t="inlineStr">
        <is>
          <t>CLI / Doctor Diagnostics</t>
        </is>
      </c>
      <c r="D32" t="inlineStr">
        <is>
          <t>CLI</t>
        </is>
      </c>
      <c r="E32" t="inlineStr">
        <is>
          <t>AUGMENT</t>
        </is>
      </c>
      <c r="F32" t="inlineStr">
        <is>
          <t>Pi CLI + Locus CLI</t>
        </is>
      </c>
      <c r="H32" t="inlineStr">
        <is>
          <t>sidecar</t>
        </is>
      </c>
      <c r="I32" s="4" t="inlineStr">
        <is>
          <t>NO_EVIDENCE</t>
        </is>
      </c>
      <c r="J32" t="n">
        <v>0</v>
      </c>
      <c r="K32" t="n">
        <v>85</v>
      </c>
      <c r="L32" t="n">
        <v>85</v>
      </c>
      <c r="M32" s="2" t="inlineStr">
        <is>
          <t>Files claimed but absent: locus_cli/main.py. Create them or correct the path.</t>
        </is>
      </c>
      <c r="N32" s="2" t="inlineStr">
        <is>
          <t>CLAIMED_FILES_MISSING, OVERCLAIM</t>
        </is>
      </c>
      <c r="O32" s="2" t="inlineStr">
        <is>
          <t>locus_cli/main.py</t>
        </is>
      </c>
      <c r="P32" s="2" t="inlineStr">
        <is>
          <t>declared files missing: locus_cli/main.py</t>
        </is>
      </c>
    </row>
    <row r="33">
      <c r="A33" t="inlineStr">
        <is>
          <t>F-0032</t>
        </is>
      </c>
      <c r="B33" s="2" t="inlineStr">
        <is>
          <t>§9.1: Extension System &amp; Event Lifecycle (25+ Events)</t>
        </is>
      </c>
      <c r="C33" s="2" t="inlineStr">
        <is>
          <t>Extension System</t>
        </is>
      </c>
      <c r="D33" t="inlineStr">
        <is>
          <t>Extensions</t>
        </is>
      </c>
      <c r="E33" t="inlineStr">
        <is>
          <t>KEEP-PI</t>
        </is>
      </c>
      <c r="F33" t="inlineStr">
        <is>
          <t>Pi extensions</t>
        </is>
      </c>
      <c r="H33" t="inlineStr">
        <is>
          <t>pi</t>
        </is>
      </c>
      <c r="I33" s="3" t="inlineStr">
        <is>
          <t>INHERITED_OK</t>
        </is>
      </c>
      <c r="J33" t="n">
        <v>100</v>
      </c>
      <c r="K33" t="n">
        <v>100</v>
      </c>
      <c r="L33" t="n">
        <v>0</v>
      </c>
      <c r="M33" s="2" t="inlineStr"/>
      <c r="N33" s="2" t="inlineStr"/>
      <c r="O33" s="2" t="inlineStr">
        <is>
          <t>packages/coding-agent/</t>
        </is>
      </c>
      <c r="P33" s="2" t="inlineStr"/>
    </row>
    <row r="34">
      <c r="A34" t="inlineStr">
        <is>
          <t>F-0033</t>
        </is>
      </c>
      <c r="B34" s="2" t="inlineStr">
        <is>
          <t>§9.4: Agent Communication Protocol (ACP Client &amp; Transport)</t>
        </is>
      </c>
      <c r="C34" s="2" t="inlineStr">
        <is>
          <t>ACP Protocol</t>
        </is>
      </c>
      <c r="D34" t="inlineStr">
        <is>
          <t>Extensions</t>
        </is>
      </c>
      <c r="E34" t="inlineStr">
        <is>
          <t>LOCUS-NEW</t>
        </is>
      </c>
      <c r="F34" t="inlineStr">
        <is>
          <t>Hermes copilot_acp_client.py</t>
        </is>
      </c>
      <c r="H34" t="inlineStr">
        <is>
          <t>sidecar</t>
        </is>
      </c>
      <c r="I34" s="4" t="inlineStr">
        <is>
          <t>NO_EVIDENCE</t>
        </is>
      </c>
      <c r="J34" t="n">
        <v>0</v>
      </c>
      <c r="K34" t="n">
        <v>55</v>
      </c>
      <c r="L34" t="n">
        <v>55</v>
      </c>
      <c r="M34" s="2" t="inlineStr">
        <is>
          <t>Files claimed but absent: sidecar/acp_server.py. Create them or correct the path.</t>
        </is>
      </c>
      <c r="N34" s="2" t="inlineStr">
        <is>
          <t>CLAIMED_FILES_MISSING, OVERCLAIM</t>
        </is>
      </c>
      <c r="O34" s="2" t="inlineStr">
        <is>
          <t>sidecar/acp_server.py</t>
        </is>
      </c>
      <c r="P34" s="2" t="inlineStr">
        <is>
          <t>declared files missing: sidecar/acp_server.py</t>
        </is>
      </c>
    </row>
    <row r="35">
      <c r="A35" t="inlineStr">
        <is>
          <t>F-0034</t>
        </is>
      </c>
      <c r="B35" s="2" t="inlineStr">
        <is>
          <t>§9.9: Plugin LLM Sandboxing &amp; Auxiliary Bridge</t>
        </is>
      </c>
      <c r="C35" s="2" t="inlineStr">
        <is>
          <t>Plugin LLM</t>
        </is>
      </c>
      <c r="D35" t="inlineStr">
        <is>
          <t>Extensions</t>
        </is>
      </c>
      <c r="E35" t="inlineStr">
        <is>
          <t>LOCUS-NEW</t>
        </is>
      </c>
      <c r="F35" t="inlineStr">
        <is>
          <t>Hermes plugin_llm.py</t>
        </is>
      </c>
      <c r="H35" t="inlineStr">
        <is>
          <t>unknown</t>
        </is>
      </c>
      <c r="I35" s="4" t="inlineStr">
        <is>
          <t>NO_EVIDENCE</t>
        </is>
      </c>
      <c r="J35" t="n">
        <v>0</v>
      </c>
      <c r="K35" t="n">
        <v>10</v>
      </c>
      <c r="L35" t="n">
        <v>10</v>
      </c>
      <c r="M35" s="2" t="inlineStr">
        <is>
          <t>Name the files this feature lives in (evidence.files).</t>
        </is>
      </c>
      <c r="N35" s="2" t="inlineStr">
        <is>
          <t>NO_FILES_NAMED</t>
        </is>
      </c>
      <c r="O35" s="2" t="inlineStr"/>
      <c r="P35" s="2" t="inlineStr">
        <is>
          <t>no evidence files declared</t>
        </is>
      </c>
    </row>
    <row r="36">
      <c r="A36" t="inlineStr">
        <is>
          <t>F-0035</t>
        </is>
      </c>
      <c r="B36" s="2" t="inlineStr">
        <is>
          <t>§1.7 + §10.1: Post-Turn Background Review; §10.3: User Profile Building; §10.5: Personal Reward Model; §10.6-10.7: Hebbian Learning &amp; Pattern Engine</t>
        </is>
      </c>
      <c r="C36" s="2" t="inlineStr">
        <is>
          <t>Learning / Profiling / Reward Model</t>
        </is>
      </c>
      <c r="D36" t="inlineStr">
        <is>
          <t>Learning</t>
        </is>
      </c>
      <c r="E36" t="inlineStr">
        <is>
          <t>MULTI-PROVIDER</t>
        </is>
      </c>
      <c r="F36" t="inlineStr">
        <is>
          <t>Hermes + OpenHuman + Locus</t>
        </is>
      </c>
      <c r="G36" t="inlineStr">
        <is>
          <t>LearningProvider</t>
        </is>
      </c>
      <c r="H36" t="inlineStr">
        <is>
          <t>sidecar</t>
        </is>
      </c>
      <c r="I36" s="4" t="inlineStr">
        <is>
          <t>NO_EVIDENCE</t>
        </is>
      </c>
      <c r="J36" t="n">
        <v>0</v>
      </c>
      <c r="K36" t="n">
        <v>70</v>
      </c>
      <c r="L36" t="n">
        <v>70</v>
      </c>
      <c r="M36" s="2" t="inlineStr">
        <is>
          <t>Files claimed but absent: sidecar/learning/. Create them or correct the path.</t>
        </is>
      </c>
      <c r="N36" s="2" t="inlineStr">
        <is>
          <t>CLAIMED_FILES_MISSING, OVERCLAIM</t>
        </is>
      </c>
      <c r="O36" s="2" t="inlineStr">
        <is>
          <t>sidecar/learning/</t>
        </is>
      </c>
      <c r="P36" s="2" t="inlineStr">
        <is>
          <t>declared files missing: sidecar/learning/</t>
        </is>
      </c>
    </row>
    <row r="37">
      <c r="A37" t="inlineStr">
        <is>
          <t>F-0036</t>
        </is>
      </c>
      <c r="B37" s="2" t="inlineStr">
        <is>
          <t>§3.7 + §11.5: Coding Harness Delegation; §11.1-11.5: Subagent Spawning, Archetypes, Depth Limiting</t>
        </is>
      </c>
      <c r="C37" s="2" t="inlineStr">
        <is>
          <t>Subagents / AutoResearch</t>
        </is>
      </c>
      <c r="D37" t="inlineStr">
        <is>
          <t>Subagents</t>
        </is>
      </c>
      <c r="E37" t="inlineStr">
        <is>
          <t>AUGMENT</t>
        </is>
      </c>
      <c r="F37" t="inlineStr">
        <is>
          <t>Pi + OpenHuman + AutoResearch</t>
        </is>
      </c>
      <c r="G37" t="inlineStr">
        <is>
          <t>SubagentArchetype</t>
        </is>
      </c>
      <c r="H37" t="inlineStr">
        <is>
          <t>sidecar</t>
        </is>
      </c>
      <c r="I37" s="4" t="inlineStr">
        <is>
          <t>NO_EVIDENCE</t>
        </is>
      </c>
      <c r="J37" t="n">
        <v>0</v>
      </c>
      <c r="K37" t="n">
        <v>60</v>
      </c>
      <c r="L37" t="n">
        <v>60</v>
      </c>
      <c r="M37" s="2" t="inlineStr">
        <is>
          <t>Files claimed but absent: sidecar/delegation/. Create them or correct the path.</t>
        </is>
      </c>
      <c r="N37" s="2" t="inlineStr">
        <is>
          <t>CLAIMED_FILES_MISSING, OVERCLAIM</t>
        </is>
      </c>
      <c r="O37" s="2" t="inlineStr">
        <is>
          <t>sidecar/delegation/</t>
        </is>
      </c>
      <c r="P37" s="2" t="inlineStr">
        <is>
          <t>declared files missing: sidecar/delegation/</t>
        </is>
      </c>
    </row>
    <row r="38">
      <c r="A38" t="inlineStr">
        <is>
          <t>F-0037</t>
        </is>
      </c>
      <c r="B38" s="2" t="inlineStr">
        <is>
          <t>§13.1: Prompt Injection Protection</t>
        </is>
      </c>
      <c r="C38" s="2" t="inlineStr">
        <is>
          <t>Injection Filter</t>
        </is>
      </c>
      <c r="D38" t="inlineStr">
        <is>
          <t>Security</t>
        </is>
      </c>
      <c r="E38" t="inlineStr">
        <is>
          <t>AUGMENT</t>
        </is>
      </c>
      <c r="F38" t="inlineStr">
        <is>
          <t>Pi + Hermes + Locus</t>
        </is>
      </c>
      <c r="H38" t="inlineStr">
        <is>
          <t>sidecar</t>
        </is>
      </c>
      <c r="I38" s="4" t="inlineStr">
        <is>
          <t>NO_EVIDENCE</t>
        </is>
      </c>
      <c r="J38" t="n">
        <v>0</v>
      </c>
      <c r="K38" t="n">
        <v>80</v>
      </c>
      <c r="L38" t="n">
        <v>80</v>
      </c>
      <c r="M38" s="2" t="inlineStr">
        <is>
          <t>Files claimed but absent: sidecar/security/injection_filter.py. Create them or correct the path.</t>
        </is>
      </c>
      <c r="N38" s="2" t="inlineStr">
        <is>
          <t>CLAIMED_FILES_MISSING, OVERCLAIM</t>
        </is>
      </c>
      <c r="O38" s="2" t="inlineStr">
        <is>
          <t>sidecar/security/injection_filter.py</t>
        </is>
      </c>
      <c r="P38" s="2" t="inlineStr">
        <is>
          <t>declared files missing: sidecar/security/injection_filter.py</t>
        </is>
      </c>
    </row>
    <row r="39">
      <c r="A39" t="inlineStr">
        <is>
          <t>F-0038</t>
        </is>
      </c>
      <c r="B39" s="2" t="inlineStr">
        <is>
          <t>§13.3: Sandbox Backends</t>
        </is>
      </c>
      <c r="C39" s="2" t="inlineStr">
        <is>
          <t>Shell Sandbox</t>
        </is>
      </c>
      <c r="D39" t="inlineStr">
        <is>
          <t>Security</t>
        </is>
      </c>
      <c r="E39" t="inlineStr">
        <is>
          <t>KEEP-PI</t>
        </is>
      </c>
      <c r="F39" t="inlineStr">
        <is>
          <t>Pi trust model</t>
        </is>
      </c>
      <c r="G39" t="inlineStr">
        <is>
          <t>SandboxProvider</t>
        </is>
      </c>
      <c r="H39" t="inlineStr">
        <is>
          <t>pi</t>
        </is>
      </c>
      <c r="I39" s="3" t="inlineStr">
        <is>
          <t>INHERITED_OK</t>
        </is>
      </c>
      <c r="J39" t="n">
        <v>100</v>
      </c>
      <c r="K39" t="n">
        <v>100</v>
      </c>
      <c r="L39" t="n">
        <v>0</v>
      </c>
      <c r="M39" s="2" t="inlineStr"/>
      <c r="N39" s="2" t="inlineStr"/>
      <c r="O39" s="2" t="inlineStr">
        <is>
          <t>packages/coding-agent/</t>
        </is>
      </c>
      <c r="P39" s="2" t="inlineStr"/>
    </row>
    <row r="40">
      <c r="A40" t="inlineStr">
        <is>
          <t>F-0039</t>
        </is>
      </c>
      <c r="B40" s="2" t="inlineStr">
        <is>
          <t>§13.6: Project Trust</t>
        </is>
      </c>
      <c r="C40" s="2" t="inlineStr">
        <is>
          <t>Project Trust</t>
        </is>
      </c>
      <c r="D40" t="inlineStr">
        <is>
          <t>Security</t>
        </is>
      </c>
      <c r="E40" t="inlineStr">
        <is>
          <t>KEEP-PI</t>
        </is>
      </c>
      <c r="F40" t="inlineStr">
        <is>
          <t>Pi Agent</t>
        </is>
      </c>
      <c r="H40" t="inlineStr">
        <is>
          <t>pi</t>
        </is>
      </c>
      <c r="I40" s="3" t="inlineStr">
        <is>
          <t>INHERITED_OK</t>
        </is>
      </c>
      <c r="J40" t="n">
        <v>100</v>
      </c>
      <c r="K40" t="n">
        <v>100</v>
      </c>
      <c r="L40" t="n">
        <v>0</v>
      </c>
      <c r="M40" s="2" t="inlineStr"/>
      <c r="N40" s="2" t="inlineStr"/>
      <c r="O40" s="2" t="inlineStr">
        <is>
          <t>packages/coding-agent/</t>
        </is>
      </c>
      <c r="P40" s="2" t="inlineStr"/>
    </row>
    <row r="41">
      <c r="A41" t="inlineStr">
        <is>
          <t>F-0040</t>
        </is>
      </c>
      <c r="B41" s="2" t="inlineStr">
        <is>
          <t>§13.7: Shell Blocklist</t>
        </is>
      </c>
      <c r="C41" s="2" t="inlineStr">
        <is>
          <t>Shell Blocklist</t>
        </is>
      </c>
      <c r="D41" t="inlineStr">
        <is>
          <t>Security</t>
        </is>
      </c>
      <c r="E41" t="inlineStr">
        <is>
          <t>AUGMENT</t>
        </is>
      </c>
      <c r="F41" t="inlineStr">
        <is>
          <t>Pi + Locus</t>
        </is>
      </c>
      <c r="H41" t="inlineStr">
        <is>
          <t>sidecar</t>
        </is>
      </c>
      <c r="I41" s="4" t="inlineStr">
        <is>
          <t>NO_EVIDENCE</t>
        </is>
      </c>
      <c r="J41" t="n">
        <v>0</v>
      </c>
      <c r="K41" t="n">
        <v>70</v>
      </c>
      <c r="L41" t="n">
        <v>70</v>
      </c>
      <c r="M41" s="2" t="inlineStr">
        <is>
          <t>Files claimed but absent: sidecar/security/. Create them or correct the path.</t>
        </is>
      </c>
      <c r="N41" s="2" t="inlineStr">
        <is>
          <t>CLAIMED_FILES_MISSING, OVERCLAIM</t>
        </is>
      </c>
      <c r="O41" s="2" t="inlineStr">
        <is>
          <t>sidecar/security/</t>
        </is>
      </c>
      <c r="P41" s="2" t="inlineStr">
        <is>
          <t>declared files missing: sidecar/security/</t>
        </is>
      </c>
    </row>
    <row r="42">
      <c r="A42" t="inlineStr">
        <is>
          <t>F-0041</t>
        </is>
      </c>
      <c r="B42" s="2" t="inlineStr">
        <is>
          <t>§13.8: Data Redaction</t>
        </is>
      </c>
      <c r="C42" s="2" t="inlineStr">
        <is>
          <t>Data Redaction</t>
        </is>
      </c>
      <c r="D42" t="inlineStr">
        <is>
          <t>Security</t>
        </is>
      </c>
      <c r="E42" t="inlineStr">
        <is>
          <t>AUGMENT</t>
        </is>
      </c>
      <c r="F42" t="inlineStr">
        <is>
          <t>Pi + Locus</t>
        </is>
      </c>
      <c r="H42" t="inlineStr">
        <is>
          <t>sidecar</t>
        </is>
      </c>
      <c r="I42" s="4" t="inlineStr">
        <is>
          <t>NO_EVIDENCE</t>
        </is>
      </c>
      <c r="J42" t="n">
        <v>0</v>
      </c>
      <c r="K42" t="n">
        <v>75</v>
      </c>
      <c r="L42" t="n">
        <v>75</v>
      </c>
      <c r="M42" s="2" t="inlineStr">
        <is>
          <t>Files claimed but absent: sidecar/security/redact.py. Create them or correct the path.</t>
        </is>
      </c>
      <c r="N42" s="2" t="inlineStr">
        <is>
          <t>CLAIMED_FILES_MISSING, OVERCLAIM</t>
        </is>
      </c>
      <c r="O42" s="2" t="inlineStr">
        <is>
          <t>sidecar/security/redact.py</t>
        </is>
      </c>
      <c r="P42" s="2" t="inlineStr">
        <is>
          <t>declared files missing: sidecar/security/redact.py</t>
        </is>
      </c>
    </row>
    <row r="43">
      <c r="A43" t="inlineStr">
        <is>
          <t>F-0042</t>
        </is>
      </c>
      <c r="B43" s="2" t="inlineStr">
        <is>
          <t>§13.9: Think Token Scrubbing</t>
        </is>
      </c>
      <c r="C43" s="2" t="inlineStr">
        <is>
          <t>Think Token Scrubbing</t>
        </is>
      </c>
      <c r="D43" t="inlineStr">
        <is>
          <t>Security</t>
        </is>
      </c>
      <c r="E43" t="inlineStr">
        <is>
          <t>AUGMENT</t>
        </is>
      </c>
      <c r="F43" t="inlineStr">
        <is>
          <t>Pi + Locus</t>
        </is>
      </c>
      <c r="H43" t="inlineStr">
        <is>
          <t>sidecar</t>
        </is>
      </c>
      <c r="I43" s="4" t="inlineStr">
        <is>
          <t>NO_EVIDENCE</t>
        </is>
      </c>
      <c r="J43" t="n">
        <v>0</v>
      </c>
      <c r="K43" t="n">
        <v>75</v>
      </c>
      <c r="L43" t="n">
        <v>75</v>
      </c>
      <c r="M43" s="2" t="inlineStr">
        <is>
          <t>Files claimed but absent: sidecar/security/think_scrubber.py. Create them or correct the path.</t>
        </is>
      </c>
      <c r="N43" s="2" t="inlineStr">
        <is>
          <t>CLAIMED_FILES_MISSING, OVERCLAIM</t>
        </is>
      </c>
      <c r="O43" s="2" t="inlineStr">
        <is>
          <t>sidecar/security/think_scrubber.py</t>
        </is>
      </c>
      <c r="P43" s="2" t="inlineStr">
        <is>
          <t>declared files missing: sidecar/security/think_scrubber.py</t>
        </is>
      </c>
    </row>
    <row r="44">
      <c r="A44" t="inlineStr">
        <is>
          <t>F-0043</t>
        </is>
      </c>
      <c r="B44" s="2" t="inlineStr">
        <is>
          <t>§13.10: Message Sanitization</t>
        </is>
      </c>
      <c r="C44" s="2" t="inlineStr">
        <is>
          <t>Message Sanitization</t>
        </is>
      </c>
      <c r="D44" t="inlineStr">
        <is>
          <t>Security</t>
        </is>
      </c>
      <c r="E44" t="inlineStr">
        <is>
          <t>AUGMENT</t>
        </is>
      </c>
      <c r="F44" t="inlineStr">
        <is>
          <t>Pi + Locus</t>
        </is>
      </c>
      <c r="H44" t="inlineStr">
        <is>
          <t>sidecar</t>
        </is>
      </c>
      <c r="I44" s="4" t="inlineStr">
        <is>
          <t>NO_EVIDENCE</t>
        </is>
      </c>
      <c r="J44" t="n">
        <v>0</v>
      </c>
      <c r="K44" t="n">
        <v>75</v>
      </c>
      <c r="L44" t="n">
        <v>75</v>
      </c>
      <c r="M44" s="2" t="inlineStr">
        <is>
          <t>Files claimed but absent: sidecar/security/sanitizer.py. Create them or correct the path.</t>
        </is>
      </c>
      <c r="N44" s="2" t="inlineStr">
        <is>
          <t>CLAIMED_FILES_MISSING, OVERCLAIM</t>
        </is>
      </c>
      <c r="O44" s="2" t="inlineStr">
        <is>
          <t>sidecar/security/sanitizer.py</t>
        </is>
      </c>
      <c r="P44" s="2" t="inlineStr">
        <is>
          <t>declared files missing: sidecar/security/sanitizer.py</t>
        </is>
      </c>
    </row>
    <row r="45">
      <c r="A45" t="inlineStr">
        <is>
          <t>F-0044</t>
        </is>
      </c>
      <c r="B45" s="2" t="inlineStr">
        <is>
          <t>§14.1-14.4: Voice Pipeline</t>
        </is>
      </c>
      <c r="C45" s="2" t="inlineStr">
        <is>
          <t>STT / TTS Providers</t>
        </is>
      </c>
      <c r="D45" t="inlineStr">
        <is>
          <t>Voice</t>
        </is>
      </c>
      <c r="E45" t="inlineStr">
        <is>
          <t>MULTI-PROVIDER</t>
        </is>
      </c>
      <c r="F45" t="inlineStr">
        <is>
          <t>Hermes + Locus</t>
        </is>
      </c>
      <c r="G45" t="inlineStr">
        <is>
          <t>STTProvider, TTSProvider</t>
        </is>
      </c>
      <c r="H45" t="inlineStr">
        <is>
          <t>sidecar</t>
        </is>
      </c>
      <c r="I45" s="4" t="inlineStr">
        <is>
          <t>NO_EVIDENCE</t>
        </is>
      </c>
      <c r="J45" t="n">
        <v>0</v>
      </c>
      <c r="K45" t="n">
        <v>60</v>
      </c>
      <c r="L45" t="n">
        <v>60</v>
      </c>
      <c r="M45" s="2" t="inlineStr">
        <is>
          <t>Files claimed but absent: sidecar/voice/. Create them or correct the path.</t>
        </is>
      </c>
      <c r="N45" s="2" t="inlineStr">
        <is>
          <t>CLAIMED_FILES_MISSING, OVERCLAIM</t>
        </is>
      </c>
      <c r="O45" s="2" t="inlineStr">
        <is>
          <t>sidecar/voice/</t>
        </is>
      </c>
      <c r="P45" s="2" t="inlineStr">
        <is>
          <t>declared files missing: sidecar/voice/</t>
        </is>
      </c>
    </row>
    <row r="46">
      <c r="A46" t="inlineStr">
        <is>
          <t>F-0045</t>
        </is>
      </c>
      <c r="B46" s="2" t="inlineStr">
        <is>
          <t>§16.1-16.2 + §20.1-20.3: Browser Automation &amp; Desktop Control</t>
        </is>
      </c>
      <c r="C46" s="2" t="inlineStr">
        <is>
          <t>Browser Automation</t>
        </is>
      </c>
      <c r="D46" t="inlineStr">
        <is>
          <t>Browser</t>
        </is>
      </c>
      <c r="E46" t="inlineStr">
        <is>
          <t>MULTI-PROVIDER</t>
        </is>
      </c>
      <c r="F46" t="inlineStr">
        <is>
          <t>OpenHuman + Pi</t>
        </is>
      </c>
      <c r="G46" t="inlineStr">
        <is>
          <t>BrowserProvider</t>
        </is>
      </c>
      <c r="H46" t="inlineStr">
        <is>
          <t>sidecar</t>
        </is>
      </c>
      <c r="I46" s="4" t="inlineStr">
        <is>
          <t>NO_EVIDENCE</t>
        </is>
      </c>
      <c r="J46" t="n">
        <v>0</v>
      </c>
      <c r="K46" t="n">
        <v>45</v>
      </c>
      <c r="L46" t="n">
        <v>45</v>
      </c>
      <c r="M46" s="2" t="inlineStr">
        <is>
          <t>Files claimed but absent: sidecar/browser/. Create them or correct the path.</t>
        </is>
      </c>
      <c r="N46" s="2" t="inlineStr">
        <is>
          <t>CLAIMED_FILES_MISSING, OVERCLAIM</t>
        </is>
      </c>
      <c r="O46" s="2" t="inlineStr">
        <is>
          <t>sidecar/browser/</t>
        </is>
      </c>
      <c r="P46" s="2" t="inlineStr">
        <is>
          <t>declared files missing: sidecar/browser/</t>
        </is>
      </c>
    </row>
    <row r="47">
      <c r="A47" t="inlineStr">
        <is>
          <t>F-0046</t>
        </is>
      </c>
      <c r="B47" s="2" t="inlineStr">
        <is>
          <t>§17.1-17.11: Channel Adapters &amp; Platform Registry</t>
        </is>
      </c>
      <c r="C47" s="2" t="inlineStr">
        <is>
          <t>Telegram Gateway</t>
        </is>
      </c>
      <c r="D47" t="inlineStr">
        <is>
          <t>Gateway</t>
        </is>
      </c>
      <c r="E47" t="inlineStr">
        <is>
          <t>AUGMENT</t>
        </is>
      </c>
      <c r="F47" t="inlineStr">
        <is>
          <t>Hermes + Locus</t>
        </is>
      </c>
      <c r="G47" t="inlineStr">
        <is>
          <t>ChannelProvider</t>
        </is>
      </c>
      <c r="H47" t="inlineStr">
        <is>
          <t>sidecar</t>
        </is>
      </c>
      <c r="I47" s="4" t="inlineStr">
        <is>
          <t>NO_EVIDENCE</t>
        </is>
      </c>
      <c r="J47" t="n">
        <v>0</v>
      </c>
      <c r="K47" t="n">
        <v>90</v>
      </c>
      <c r="L47" t="n">
        <v>90</v>
      </c>
      <c r="M47" s="2" t="inlineStr">
        <is>
          <t>Files claimed but absent: sidecar/gateway/, gateway/. Create them or correct the path.</t>
        </is>
      </c>
      <c r="N47" s="2" t="inlineStr">
        <is>
          <t>CLAIMED_FILES_MISSING, OVERCLAIM</t>
        </is>
      </c>
      <c r="O47" s="2" t="inlineStr">
        <is>
          <t>sidecar/gateway/, gateway/</t>
        </is>
      </c>
      <c r="P47" s="2" t="inlineStr">
        <is>
          <t>declared files missing: sidecar/gateway/, gateway/</t>
        </is>
      </c>
    </row>
    <row r="48">
      <c r="A48" t="inlineStr">
        <is>
          <t>F-0047</t>
        </is>
      </c>
      <c r="B48" s="2" t="inlineStr">
        <is>
          <t>§17.10: Graceful Gateway Restart &amp; State Snapshotting</t>
        </is>
      </c>
      <c r="C48" s="2" t="inlineStr">
        <is>
          <t>Graceful Restart</t>
        </is>
      </c>
      <c r="D48" t="inlineStr">
        <is>
          <t>Gateway</t>
        </is>
      </c>
      <c r="E48" t="inlineStr">
        <is>
          <t>AUGMENT</t>
        </is>
      </c>
      <c r="F48" t="inlineStr">
        <is>
          <t>Hermes + Locus</t>
        </is>
      </c>
      <c r="H48" t="inlineStr">
        <is>
          <t>sidecar</t>
        </is>
      </c>
      <c r="I48" s="4" t="inlineStr">
        <is>
          <t>NO_EVIDENCE</t>
        </is>
      </c>
      <c r="J48" t="n">
        <v>0</v>
      </c>
      <c r="K48" t="n">
        <v>50</v>
      </c>
      <c r="L48" t="n">
        <v>50</v>
      </c>
      <c r="M48" s="2" t="inlineStr">
        <is>
          <t>Files claimed but absent: sidecar/gateway/. Create them or correct the path.</t>
        </is>
      </c>
      <c r="N48" s="2" t="inlineStr">
        <is>
          <t>CLAIMED_FILES_MISSING, OVERCLAIM</t>
        </is>
      </c>
      <c r="O48" s="2" t="inlineStr">
        <is>
          <t>sidecar/gateway/</t>
        </is>
      </c>
      <c r="P48" s="2" t="inlineStr">
        <is>
          <t>declared files missing: sidecar/gateway/</t>
        </is>
      </c>
    </row>
    <row r="49">
      <c r="A49" t="inlineStr">
        <is>
          <t>F-0048</t>
        </is>
      </c>
      <c r="B49" s="2" t="inlineStr">
        <is>
          <t>§18.1-18.4: Model Context Protocol; §18.5: Obsidian MCP (Vault Bridge)</t>
        </is>
      </c>
      <c r="C49" s="2" t="inlineStr">
        <is>
          <t>MCP Server/Client</t>
        </is>
      </c>
      <c r="D49" t="inlineStr">
        <is>
          <t>MCP</t>
        </is>
      </c>
      <c r="E49" t="inlineStr">
        <is>
          <t>AUGMENT</t>
        </is>
      </c>
      <c r="F49" t="inlineStr">
        <is>
          <t>OpenHuman + Locus</t>
        </is>
      </c>
      <c r="H49" t="inlineStr">
        <is>
          <t>sidecar</t>
        </is>
      </c>
      <c r="I49" s="4" t="inlineStr">
        <is>
          <t>NO_EVIDENCE</t>
        </is>
      </c>
      <c r="J49" t="n">
        <v>0</v>
      </c>
      <c r="K49" t="n">
        <v>55</v>
      </c>
      <c r="L49" t="n">
        <v>55</v>
      </c>
      <c r="M49" s="2" t="inlineStr">
        <is>
          <t>Files claimed but absent: sidecar/mcp_client.py. Create them or correct the path.</t>
        </is>
      </c>
      <c r="N49" s="2" t="inlineStr">
        <is>
          <t>CLAIMED_FILES_MISSING, OVERCLAIM</t>
        </is>
      </c>
      <c r="O49" s="2" t="inlineStr">
        <is>
          <t>sidecar/mcp_client.py</t>
        </is>
      </c>
      <c r="P49" s="2" t="inlineStr">
        <is>
          <t>declared files missing: sidecar/mcp_client.py</t>
        </is>
      </c>
    </row>
    <row r="50">
      <c r="A50" t="inlineStr">
        <is>
          <t>F-0049</t>
        </is>
      </c>
      <c r="B50" s="2" t="inlineStr">
        <is>
          <t>§19.2: Trajectory Recording</t>
        </is>
      </c>
      <c r="C50" s="2" t="inlineStr">
        <is>
          <t>Trajectory Recording</t>
        </is>
      </c>
      <c r="D50" t="inlineStr">
        <is>
          <t>Observability</t>
        </is>
      </c>
      <c r="E50" t="inlineStr">
        <is>
          <t>AUGMENT</t>
        </is>
      </c>
      <c r="F50" t="inlineStr">
        <is>
          <t>Hermes trajectory_compressor.py</t>
        </is>
      </c>
      <c r="H50" t="inlineStr">
        <is>
          <t>sidecar</t>
        </is>
      </c>
      <c r="I50" s="4" t="inlineStr">
        <is>
          <t>NO_EVIDENCE</t>
        </is>
      </c>
      <c r="J50" t="n">
        <v>0</v>
      </c>
      <c r="K50" t="n">
        <v>40</v>
      </c>
      <c r="L50" t="n">
        <v>40</v>
      </c>
      <c r="M50" s="2" t="inlineStr">
        <is>
          <t>Files claimed but absent: sidecar/learning/trajectory.py. Create them or correct the path.</t>
        </is>
      </c>
      <c r="N50" s="2" t="inlineStr">
        <is>
          <t>CLAIMED_FILES_MISSING, OVERCLAIM</t>
        </is>
      </c>
      <c r="O50" s="2" t="inlineStr">
        <is>
          <t>sidecar/learning/trajectory.py</t>
        </is>
      </c>
      <c r="P50" s="2" t="inlineStr">
        <is>
          <t>declared files missing: sidecar/learning/trajectory.py</t>
        </is>
      </c>
    </row>
    <row r="51">
      <c r="A51" t="inlineStr">
        <is>
          <t>F-0050</t>
        </is>
      </c>
      <c r="B51" s="2" t="inlineStr">
        <is>
          <t>§19.3: Daily AI Chat Archiver (Multi-Platform Ingestion)</t>
        </is>
      </c>
      <c r="C51" s="2" t="inlineStr">
        <is>
          <t>AI Chat Archiver</t>
        </is>
      </c>
      <c r="D51" t="inlineStr">
        <is>
          <t>Observability</t>
        </is>
      </c>
      <c r="E51" t="inlineStr">
        <is>
          <t>LOCUS-NEW</t>
        </is>
      </c>
      <c r="F51" t="inlineStr">
        <is>
          <t>Locus design spec</t>
        </is>
      </c>
      <c r="G51" t="inlineStr">
        <is>
          <t>ChatArchiverProvider</t>
        </is>
      </c>
      <c r="H51" t="inlineStr">
        <is>
          <t>sidecar</t>
        </is>
      </c>
      <c r="I51" s="4" t="inlineStr">
        <is>
          <t>NO_EVIDENCE</t>
        </is>
      </c>
      <c r="J51" t="n">
        <v>0</v>
      </c>
      <c r="K51" t="n">
        <v>55</v>
      </c>
      <c r="L51" t="n">
        <v>55</v>
      </c>
      <c r="M51" s="2" t="inlineStr">
        <is>
          <t>Files claimed but absent: sidecar/ingestion/chat_archiver.py, sidecar/crawlers/chat_crawler.py. Create them or correct the path.</t>
        </is>
      </c>
      <c r="N51" s="2" t="inlineStr">
        <is>
          <t>CLAIMED_FILES_MISSING, OVERCLAIM</t>
        </is>
      </c>
      <c r="O51" s="2" t="inlineStr">
        <is>
          <t>sidecar/ingestion/chat_archiver.py, sidecar/crawlers/chat_crawler.py</t>
        </is>
      </c>
      <c r="P51" s="2" t="inlineStr">
        <is>
          <t>declared files missing: sidecar/ingestion/chat_archiver.py, sidecar/crawlers/chat_crawler.py</t>
        </is>
      </c>
    </row>
    <row r="52">
      <c r="A52" t="inlineStr">
        <is>
          <t>F-0051</t>
        </is>
      </c>
      <c r="B52" s="2" t="inlineStr">
        <is>
          <t>§16.1-16.2 + §20.1-20.3: Browser Automation &amp; Desktop Control</t>
        </is>
      </c>
      <c r="C52" s="2" t="inlineStr">
        <is>
          <t>Computer Use / Screen</t>
        </is>
      </c>
      <c r="D52" t="inlineStr">
        <is>
          <t>Desktop</t>
        </is>
      </c>
      <c r="E52" t="inlineStr">
        <is>
          <t>AUGMENT</t>
        </is>
      </c>
      <c r="F52" t="inlineStr">
        <is>
          <t>OpenHuman + Pi</t>
        </is>
      </c>
      <c r="H52" t="inlineStr">
        <is>
          <t>sidecar</t>
        </is>
      </c>
      <c r="I52" s="4" t="inlineStr">
        <is>
          <t>NO_EVIDENCE</t>
        </is>
      </c>
      <c r="J52" t="n">
        <v>0</v>
      </c>
      <c r="K52" t="n">
        <v>40</v>
      </c>
      <c r="L52" t="n">
        <v>40</v>
      </c>
      <c r="M52" s="2" t="inlineStr">
        <is>
          <t>Files claimed but absent: sidecar/screen/. Create them or correct the path.</t>
        </is>
      </c>
      <c r="N52" s="2" t="inlineStr">
        <is>
          <t>CLAIMED_FILES_MISSING, LOW_CONFIDENCE_MAPPING, OVERCLAIM</t>
        </is>
      </c>
      <c r="O52" s="2" t="inlineStr">
        <is>
          <t>sidecar/screen/</t>
        </is>
      </c>
      <c r="P52" s="2" t="inlineStr">
        <is>
          <t>declared files missing: sidecar/screen/</t>
        </is>
      </c>
    </row>
    <row r="53">
      <c r="A53" t="inlineStr">
        <is>
          <t>F-0052</t>
        </is>
      </c>
      <c r="B53" s="2" t="inlineStr">
        <is>
          <t>§20.3: VNC / Remote Desktop Protocol Control</t>
        </is>
      </c>
      <c r="C53" s="2" t="inlineStr">
        <is>
          <t>VNC Remote</t>
        </is>
      </c>
      <c r="D53" t="inlineStr">
        <is>
          <t>Desktop</t>
        </is>
      </c>
      <c r="E53" t="inlineStr">
        <is>
          <t>LOCUS-NEW</t>
        </is>
      </c>
      <c r="F53" t="inlineStr">
        <is>
          <t>Locus design spec</t>
        </is>
      </c>
      <c r="H53" t="inlineStr">
        <is>
          <t>unknown</t>
        </is>
      </c>
      <c r="I53" s="4" t="inlineStr">
        <is>
          <t>NO_EVIDENCE</t>
        </is>
      </c>
      <c r="J53" t="n">
        <v>0</v>
      </c>
      <c r="K53" t="n">
        <v>20</v>
      </c>
      <c r="L53" t="n">
        <v>20</v>
      </c>
      <c r="M53" s="2" t="inlineStr">
        <is>
          <t>Name the files this feature lives in (evidence.files).</t>
        </is>
      </c>
      <c r="N53" s="2" t="inlineStr">
        <is>
          <t>NO_FILES_NAMED</t>
        </is>
      </c>
      <c r="O53" s="2" t="inlineStr"/>
      <c r="P53" s="2" t="inlineStr">
        <is>
          <t>no evidence files declared</t>
        </is>
      </c>
    </row>
    <row r="54">
      <c r="A54" t="inlineStr">
        <is>
          <t>F-0053</t>
        </is>
      </c>
      <c r="B54" s="2" t="inlineStr">
        <is>
          <t>§21.1-21.3: Google Calendar, Gmail, Webhooks</t>
        </is>
      </c>
      <c r="C54" s="2" t="inlineStr">
        <is>
          <t>Google Calendar</t>
        </is>
      </c>
      <c r="D54" t="inlineStr">
        <is>
          <t>Integrations</t>
        </is>
      </c>
      <c r="E54" t="inlineStr">
        <is>
          <t>LOCUS-NEW</t>
        </is>
      </c>
      <c r="F54" t="inlineStr">
        <is>
          <t>Locus design spec</t>
        </is>
      </c>
      <c r="G54" t="inlineStr">
        <is>
          <t>IntegrationProvider</t>
        </is>
      </c>
      <c r="H54" t="inlineStr">
        <is>
          <t>sidecar</t>
        </is>
      </c>
      <c r="I54" s="4" t="inlineStr">
        <is>
          <t>NO_EVIDENCE</t>
        </is>
      </c>
      <c r="J54" t="n">
        <v>0</v>
      </c>
      <c r="K54" t="n">
        <v>35</v>
      </c>
      <c r="L54" t="n">
        <v>35</v>
      </c>
      <c r="M54" s="2" t="inlineStr">
        <is>
          <t>Files claimed but absent: sidecar/integrations/calendar_sync.py. Create them or correct the path.</t>
        </is>
      </c>
      <c r="N54" s="2" t="inlineStr">
        <is>
          <t>CLAIMED_FILES_MISSING, OVERCLAIM</t>
        </is>
      </c>
      <c r="O54" s="2" t="inlineStr">
        <is>
          <t>sidecar/integrations/calendar_sync.py</t>
        </is>
      </c>
      <c r="P54" s="2" t="inlineStr">
        <is>
          <t>declared files missing: sidecar/integrations/calendar_sync.py</t>
        </is>
      </c>
    </row>
    <row r="55">
      <c r="A55" t="inlineStr">
        <is>
          <t>F-0054</t>
        </is>
      </c>
      <c r="B55" s="2" t="inlineStr">
        <is>
          <t>§23.1-23.5: Tests, Docker, Batch Runner</t>
        </is>
      </c>
      <c r="C55" s="2" t="inlineStr">
        <is>
          <t>CI/CD / Docker</t>
        </is>
      </c>
      <c r="D55" t="inlineStr">
        <is>
          <t>Deployment</t>
        </is>
      </c>
      <c r="E55" t="inlineStr">
        <is>
          <t>AUGMENT</t>
        </is>
      </c>
      <c r="F55" t="inlineStr">
        <is>
          <t>Pi + Locus</t>
        </is>
      </c>
      <c r="H55" t="inlineStr">
        <is>
          <t>mixed</t>
        </is>
      </c>
      <c r="I55" s="4" t="inlineStr">
        <is>
          <t>NO_EVIDENCE</t>
        </is>
      </c>
      <c r="J55" t="n">
        <v>0</v>
      </c>
      <c r="K55" t="n">
        <v>65</v>
      </c>
      <c r="L55" t="n">
        <v>65</v>
      </c>
      <c r="M55" s="2" t="inlineStr">
        <is>
          <t>Files claimed but absent: docker-compose.yml, sidecar/deployment/. Create them or correct the path.</t>
        </is>
      </c>
      <c r="N55" s="2" t="inlineStr">
        <is>
          <t>CLAIMED_FILES_MISSING, OVERCLAIM</t>
        </is>
      </c>
      <c r="O55" s="2" t="inlineStr">
        <is>
          <t>docker-compose.yml, sidecar/deployment/</t>
        </is>
      </c>
      <c r="P55" s="2" t="inlineStr">
        <is>
          <t>declared files missing: docker-compose.yml, sidecar/deployment/</t>
        </is>
      </c>
    </row>
    <row r="56">
      <c r="A56" t="inlineStr">
        <is>
          <t>F-0055</t>
        </is>
      </c>
      <c r="B56" s="2" t="inlineStr">
        <is>
          <t>§25.1: Four Factions Framework; §25.2: Daily Capacity Score (DCS); §25.3: Five Operating Modes; §25.4: Task Weight Score (TWS)</t>
        </is>
      </c>
      <c r="C56" s="2" t="inlineStr">
        <is>
          <t>DCS / TWS / Factions</t>
        </is>
      </c>
      <c r="D56" t="inlineStr">
        <is>
          <t>Life OS</t>
        </is>
      </c>
      <c r="E56" t="inlineStr">
        <is>
          <t>LOCUS-NEW</t>
        </is>
      </c>
      <c r="F56" t="inlineStr">
        <is>
          <t>Locus LOCUS_SYSTEM_v1.md</t>
        </is>
      </c>
      <c r="G56" t="inlineStr">
        <is>
          <t>LifeOSProvider</t>
        </is>
      </c>
      <c r="H56" t="inlineStr">
        <is>
          <t>sidecar</t>
        </is>
      </c>
      <c r="I56" s="4" t="inlineStr">
        <is>
          <t>NO_EVIDENCE</t>
        </is>
      </c>
      <c r="J56" t="n">
        <v>0</v>
      </c>
      <c r="K56" t="n">
        <v>90</v>
      </c>
      <c r="L56" t="n">
        <v>90</v>
      </c>
      <c r="M56" s="2" t="inlineStr">
        <is>
          <t>Files claimed but absent: sidecar/life_os.py. Create them or correct the path.</t>
        </is>
      </c>
      <c r="N56" s="2" t="inlineStr">
        <is>
          <t>CLAIMED_FILES_MISSING, OVERCLAIM</t>
        </is>
      </c>
      <c r="O56" s="2" t="inlineStr">
        <is>
          <t>sidecar/life_os.py</t>
        </is>
      </c>
      <c r="P56" s="2" t="inlineStr">
        <is>
          <t>declared files missing: sidecar/life_os.py</t>
        </is>
      </c>
    </row>
    <row r="57">
      <c r="A57" t="inlineStr">
        <is>
          <t>F-0056</t>
        </is>
      </c>
      <c r="B57" s="2" t="inlineStr">
        <is>
          <t>§25.5: Three-Layer Goal Stack; §25.6: Action Gap Tracking; §25.7: Deferral Detection (3/5/8+); §25.8: Lag Score + TWS Lag Bonus</t>
        </is>
      </c>
      <c r="C57" s="2" t="inlineStr">
        <is>
          <t>Operating Modes / Scheduler</t>
        </is>
      </c>
      <c r="D57" t="inlineStr">
        <is>
          <t>Life OS</t>
        </is>
      </c>
      <c r="E57" t="inlineStr">
        <is>
          <t>LOCUS-NEW</t>
        </is>
      </c>
      <c r="F57" t="inlineStr">
        <is>
          <t>Locus design spec</t>
        </is>
      </c>
      <c r="G57" t="inlineStr">
        <is>
          <t>SchedulerProvider</t>
        </is>
      </c>
      <c r="H57" t="inlineStr">
        <is>
          <t>sidecar</t>
        </is>
      </c>
      <c r="I57" s="4" t="inlineStr">
        <is>
          <t>NO_EVIDENCE</t>
        </is>
      </c>
      <c r="J57" t="n">
        <v>0</v>
      </c>
      <c r="K57" t="n">
        <v>85</v>
      </c>
      <c r="L57" t="n">
        <v>85</v>
      </c>
      <c r="M57" s="2" t="inlineStr">
        <is>
          <t>Files claimed but absent: sidecar/life_os.py, sidecar/scheduler/. Create them or correct the path.</t>
        </is>
      </c>
      <c r="N57" s="2" t="inlineStr">
        <is>
          <t>CLAIMED_FILES_MISSING, LOW_CONFIDENCE_MAPPING, OVERCLAIM</t>
        </is>
      </c>
      <c r="O57" s="2" t="inlineStr">
        <is>
          <t>sidecar/life_os.py, sidecar/scheduler/</t>
        </is>
      </c>
      <c r="P57" s="2" t="inlineStr">
        <is>
          <t>declared files missing: sidecar/life_os.py, sidecar/scheduler/</t>
        </is>
      </c>
    </row>
    <row r="58">
      <c r="A58" t="inlineStr">
        <is>
          <t>F-0057</t>
        </is>
      </c>
      <c r="B58" s="2" t="inlineStr">
        <is>
          <t>§25.12: Six-Step Scheduling Algorithm (Full Mathematical Specification)</t>
        </is>
      </c>
      <c r="C58" s="2" t="inlineStr">
        <is>
          <t>Goal Tracker (3-Layer Stack)</t>
        </is>
      </c>
      <c r="D58" t="inlineStr">
        <is>
          <t>Life OS</t>
        </is>
      </c>
      <c r="E58" t="inlineStr">
        <is>
          <t>LOCUS-NEW</t>
        </is>
      </c>
      <c r="F58" t="inlineStr">
        <is>
          <t>Locus design spec</t>
        </is>
      </c>
      <c r="H58" t="inlineStr">
        <is>
          <t>sidecar</t>
        </is>
      </c>
      <c r="I58" s="4" t="inlineStr">
        <is>
          <t>NO_EVIDENCE</t>
        </is>
      </c>
      <c r="J58" t="n">
        <v>0</v>
      </c>
      <c r="K58" t="n">
        <v>85</v>
      </c>
      <c r="L58" t="n">
        <v>85</v>
      </c>
      <c r="M58" s="2" t="inlineStr">
        <is>
          <t>Files claimed but absent: sidecar/life_os.py. Create them or correct the path.</t>
        </is>
      </c>
      <c r="N58" s="2" t="inlineStr">
        <is>
          <t>CLAIMED_FILES_MISSING, LOW_CONFIDENCE_MAPPING, OVERCLAIM</t>
        </is>
      </c>
      <c r="O58" s="2" t="inlineStr">
        <is>
          <t>sidecar/life_os.py</t>
        </is>
      </c>
      <c r="P58" s="2" t="inlineStr">
        <is>
          <t>declared files missing: sidecar/life_os.py</t>
        </is>
      </c>
    </row>
    <row r="59">
      <c r="A59" t="inlineStr">
        <is>
          <t>F-0058</t>
        </is>
      </c>
      <c r="B59" s="2" t="inlineStr">
        <is>
          <t>§12.1-12.5 + §26.1: Proactive Inner Loop &amp; Scheduling; §26.1: Inner Loop (Proactive Thinker — 10-Step Execution Pipeline); §26.2: State Engine + Inferred Cause Chain; §26.3: Multi-Horizon Pattern Engine; §26.7: Weekly Full Vault Synthesis</t>
        </is>
      </c>
      <c r="C59" s="2" t="inlineStr">
        <is>
          <t>Proactive Inner Loop</t>
        </is>
      </c>
      <c r="D59" t="inlineStr">
        <is>
          <t>Proactive</t>
        </is>
      </c>
      <c r="E59" t="inlineStr">
        <is>
          <t>LOCUS-NEW</t>
        </is>
      </c>
      <c r="F59" t="inlineStr">
        <is>
          <t>Locus design spec</t>
        </is>
      </c>
      <c r="H59" t="inlineStr">
        <is>
          <t>sidecar</t>
        </is>
      </c>
      <c r="I59" s="4" t="inlineStr">
        <is>
          <t>NO_EVIDENCE</t>
        </is>
      </c>
      <c r="J59" t="n">
        <v>0</v>
      </c>
      <c r="K59" t="n">
        <v>70</v>
      </c>
      <c r="L59" t="n">
        <v>70</v>
      </c>
      <c r="M59" s="2" t="inlineStr">
        <is>
          <t>Files claimed but absent: sidecar/cron_runner.py, sidecar/scheduler/. Create them or correct the path.</t>
        </is>
      </c>
      <c r="N59" s="2" t="inlineStr">
        <is>
          <t>CLAIMED_FILES_MISSING, OVERCLAIM</t>
        </is>
      </c>
      <c r="O59" s="2" t="inlineStr">
        <is>
          <t>sidecar/cron_runner.py, sidecar/scheduler/</t>
        </is>
      </c>
      <c r="P59" s="2" t="inlineStr">
        <is>
          <t>declared files missing: sidecar/cron_runner.py, sidecar/scheduler/</t>
        </is>
      </c>
    </row>
    <row r="60">
      <c r="A60" t="inlineStr">
        <is>
          <t>F-0059</t>
        </is>
      </c>
      <c r="B60" s="2" t="inlineStr">
        <is>
          <t>§27.1: Vectorless Retrieval (PageIndex)</t>
        </is>
      </c>
      <c r="C60" s="2" t="inlineStr">
        <is>
          <t>PageIndex Retrieval</t>
        </is>
      </c>
      <c r="D60" t="inlineStr">
        <is>
          <t>Retrieval</t>
        </is>
      </c>
      <c r="E60" t="inlineStr">
        <is>
          <t>KEEP-PREBUILT</t>
        </is>
      </c>
      <c r="F60" t="inlineStr">
        <is>
          <t>VectifyAI/PageIndex</t>
        </is>
      </c>
      <c r="G60" t="inlineStr">
        <is>
          <t>RetrievalProvider</t>
        </is>
      </c>
      <c r="H60" t="inlineStr">
        <is>
          <t>sidecar</t>
        </is>
      </c>
      <c r="I60" s="4" t="inlineStr">
        <is>
          <t>NO_EVIDENCE</t>
        </is>
      </c>
      <c r="J60" t="n">
        <v>0</v>
      </c>
      <c r="K60" t="n">
        <v>85</v>
      </c>
      <c r="L60" t="n">
        <v>85</v>
      </c>
      <c r="M60" s="2" t="inlineStr">
        <is>
          <t>Files claimed but absent: sidecar/search/pageindex.py. Create them or correct the path.</t>
        </is>
      </c>
      <c r="N60" s="2" t="inlineStr">
        <is>
          <t>CLAIMED_FILES_MISSING, OVERCLAIM</t>
        </is>
      </c>
      <c r="O60" s="2" t="inlineStr">
        <is>
          <t>sidecar/search/pageindex.py</t>
        </is>
      </c>
      <c r="P60" s="2" t="inlineStr">
        <is>
          <t>declared files missing: sidecar/search/pageindex.py</t>
        </is>
      </c>
    </row>
    <row r="61">
      <c r="A61" t="inlineStr">
        <is>
          <t>F-0060</t>
        </is>
      </c>
      <c r="B61" s="2" t="inlineStr">
        <is>
          <t>§27.2: Obsidian Self-Hosted LiveSync &amp; CouchDB Real-Time Sync Engine</t>
        </is>
      </c>
      <c r="C61" s="2" t="inlineStr">
        <is>
          <t>Obsidian Self-Hosted LiveSync &amp; CouchDB Real-Time Sync Engine</t>
        </is>
      </c>
      <c r="D61" t="inlineStr">
        <is>
          <t>Retrieval</t>
        </is>
      </c>
      <c r="E61" t="inlineStr">
        <is>
          <t>AUGMENT</t>
        </is>
      </c>
      <c r="F61" t="inlineStr">
        <is>
          <t>CouchDB 3.3 + vstor/obsidian-livesync protocol</t>
        </is>
      </c>
      <c r="G61" t="inlineStr">
        <is>
          <t>VaultSyncProvider</t>
        </is>
      </c>
      <c r="H61" t="inlineStr">
        <is>
          <t>mixed</t>
        </is>
      </c>
      <c r="I61" s="4" t="inlineStr">
        <is>
          <t>NO_EVIDENCE</t>
        </is>
      </c>
      <c r="J61" t="n">
        <v>0</v>
      </c>
      <c r="K61" t="n">
        <v>100</v>
      </c>
      <c r="L61" t="n">
        <v>100</v>
      </c>
      <c r="M61" s="2" t="inlineStr">
        <is>
          <t>Files claimed but absent: sidecar/vault/livesync_bridge.py, src/extensions/locus-extension.ts, docker-compose.yml, data/couchdb/local.ini. Create them or correct the path.</t>
        </is>
      </c>
      <c r="N61" s="2" t="inlineStr">
        <is>
          <t>CLAIMED_FILES_MISSING, OVERCLAIM</t>
        </is>
      </c>
      <c r="O61" s="2" t="inlineStr">
        <is>
          <t>sidecar/vault/livesync_bridge.py, src/extensions/locus-extension.ts, docker-compose.yml, data/couchdb/local.ini</t>
        </is>
      </c>
      <c r="P61" s="2" t="inlineStr">
        <is>
          <t>declared files missing: sidecar/vault/livesync_bridge.py, src/extensions/locus-extension.ts, docker-compose.yml, data/couchdb/local.ini</t>
        </is>
      </c>
    </row>
    <row r="62">
      <c r="A62" t="inlineStr">
        <is>
          <t>F-0061</t>
        </is>
      </c>
      <c r="B62" s="2" t="inlineStr">
        <is>
          <t>§27.5: Rough Note Parser &amp; Idea Tracker</t>
        </is>
      </c>
      <c r="C62" s="2" t="inlineStr">
        <is>
          <t>Rough Note Parser</t>
        </is>
      </c>
      <c r="D62" t="inlineStr">
        <is>
          <t>Retrieval</t>
        </is>
      </c>
      <c r="E62" t="inlineStr">
        <is>
          <t>LOCUS-NEW</t>
        </is>
      </c>
      <c r="F62" t="inlineStr">
        <is>
          <t>Locus design spec</t>
        </is>
      </c>
      <c r="H62" t="inlineStr">
        <is>
          <t>sidecar</t>
        </is>
      </c>
      <c r="I62" s="4" t="inlineStr">
        <is>
          <t>NO_EVIDENCE</t>
        </is>
      </c>
      <c r="J62" t="n">
        <v>0</v>
      </c>
      <c r="K62" t="n">
        <v>75</v>
      </c>
      <c r="L62" t="n">
        <v>75</v>
      </c>
      <c r="M62" s="2" t="inlineStr">
        <is>
          <t>Files claimed but absent: sidecar/ingestion/rough_note_parser.py. Create them or correct the path.</t>
        </is>
      </c>
      <c r="N62" s="2" t="inlineStr">
        <is>
          <t>CLAIMED_FILES_MISSING, OVERCLAIM</t>
        </is>
      </c>
      <c r="O62" s="2" t="inlineStr">
        <is>
          <t>sidecar/ingestion/rough_note_parser.py</t>
        </is>
      </c>
      <c r="P62" s="2" t="inlineStr">
        <is>
          <t>declared files missing: sidecar/ingestion/rough_note_parser.py</t>
        </is>
      </c>
    </row>
    <row r="63">
      <c r="A63" t="inlineStr">
        <is>
          <t>F-0062</t>
        </is>
      </c>
      <c r="B63" s="2" t="inlineStr">
        <is>
          <t>§27.6: Link Dump &amp; Web Resource Logger</t>
        </is>
      </c>
      <c r="C63" s="2" t="inlineStr">
        <is>
          <t>Link Dump Logger</t>
        </is>
      </c>
      <c r="D63" t="inlineStr">
        <is>
          <t>Retrieval</t>
        </is>
      </c>
      <c r="E63" t="inlineStr">
        <is>
          <t>LOCUS-NEW</t>
        </is>
      </c>
      <c r="F63" t="inlineStr">
        <is>
          <t>Locus design spec</t>
        </is>
      </c>
      <c r="H63" t="inlineStr">
        <is>
          <t>sidecar</t>
        </is>
      </c>
      <c r="I63" s="4" t="inlineStr">
        <is>
          <t>NO_EVIDENCE</t>
        </is>
      </c>
      <c r="J63" t="n">
        <v>0</v>
      </c>
      <c r="K63" t="n">
        <v>75</v>
      </c>
      <c r="L63" t="n">
        <v>75</v>
      </c>
      <c r="M63" s="2" t="inlineStr">
        <is>
          <t>Files claimed but absent: sidecar/ingestion/link_logger.py. Create them or correct the path.</t>
        </is>
      </c>
      <c r="N63" s="2" t="inlineStr">
        <is>
          <t>CLAIMED_FILES_MISSING, OVERCLAIM</t>
        </is>
      </c>
      <c r="O63" s="2" t="inlineStr">
        <is>
          <t>sidecar/ingestion/link_logger.py</t>
        </is>
      </c>
      <c r="P63" s="2" t="inlineStr">
        <is>
          <t>declared files missing: sidecar/ingestion/link_logger.py</t>
        </is>
      </c>
    </row>
    <row r="64">
      <c r="A64" t="inlineStr">
        <is>
          <t>F-0063</t>
        </is>
      </c>
      <c r="B64" s="2" t="inlineStr">
        <is>
          <t>§27.7: Excalidraw MCP Skill (Visual Architecture Diagrams)</t>
        </is>
      </c>
      <c r="C64" s="2" t="inlineStr">
        <is>
          <t>Excalidraw MCP Skill</t>
        </is>
      </c>
      <c r="D64" t="inlineStr">
        <is>
          <t>Retrieval</t>
        </is>
      </c>
      <c r="E64" t="inlineStr">
        <is>
          <t>LOCUS-NEW</t>
        </is>
      </c>
      <c r="F64" t="inlineStr">
        <is>
          <t>Locus design spec</t>
        </is>
      </c>
      <c r="H64" t="inlineStr">
        <is>
          <t>sidecar</t>
        </is>
      </c>
      <c r="I64" s="4" t="inlineStr">
        <is>
          <t>NO_EVIDENCE</t>
        </is>
      </c>
      <c r="J64" t="n">
        <v>0</v>
      </c>
      <c r="K64" t="n">
        <v>70</v>
      </c>
      <c r="L64" t="n">
        <v>70</v>
      </c>
      <c r="M64" s="2" t="inlineStr">
        <is>
          <t>Files claimed but absent: sidecar/display/excalidraw_builder.py. Create them or correct the path.</t>
        </is>
      </c>
      <c r="N64" s="2" t="inlineStr">
        <is>
          <t>CLAIMED_FILES_MISSING, OVERCLAIM</t>
        </is>
      </c>
      <c r="O64" s="2" t="inlineStr">
        <is>
          <t>sidecar/display/excalidraw_builder.py</t>
        </is>
      </c>
      <c r="P64" s="2" t="inlineStr">
        <is>
          <t>declared files missing: sidecar/display/excalidraw_builder.py</t>
        </is>
      </c>
    </row>
    <row r="65">
      <c r="A65" t="inlineStr">
        <is>
          <t>F-0064</t>
        </is>
      </c>
      <c r="B65" s="2" t="inlineStr">
        <is>
          <t>§28.1-28.6: Dual-Interface, Check-ins, Voice, Cost Model</t>
        </is>
      </c>
      <c r="C65" s="2" t="inlineStr">
        <is>
          <t>Dual Interface / Check-ins</t>
        </is>
      </c>
      <c r="D65" t="inlineStr">
        <is>
          <t>Interface</t>
        </is>
      </c>
      <c r="E65" t="inlineStr">
        <is>
          <t>LOCUS-NEW</t>
        </is>
      </c>
      <c r="F65" t="inlineStr">
        <is>
          <t>Locus design spec</t>
        </is>
      </c>
      <c r="H65" t="inlineStr">
        <is>
          <t>mixed</t>
        </is>
      </c>
      <c r="I65" s="4" t="inlineStr">
        <is>
          <t>NO_EVIDENCE</t>
        </is>
      </c>
      <c r="J65" t="n">
        <v>0</v>
      </c>
      <c r="K65" t="n">
        <v>85</v>
      </c>
      <c r="L65" t="n">
        <v>85</v>
      </c>
      <c r="M65" s="2" t="inlineStr">
        <is>
          <t>Files claimed but absent: sidecar/gateway/, locus-extension/. Create them or correct the path.</t>
        </is>
      </c>
      <c r="N65" s="2" t="inlineStr">
        <is>
          <t>CLAIMED_FILES_MISSING, OVERCLAIM</t>
        </is>
      </c>
      <c r="O65" s="2" t="inlineStr">
        <is>
          <t>sidecar/gateway/, locus-extension/</t>
        </is>
      </c>
      <c r="P65" s="2" t="inlineStr">
        <is>
          <t>declared files missing: sidecar/gateway/, locus-extension/</t>
        </is>
      </c>
    </row>
    <row r="66">
      <c r="A66" t="inlineStr">
        <is>
          <t>F-0065</t>
        </is>
      </c>
      <c r="B66" s="2" t="inlineStr">
        <is>
          <t>§29.1: Error Classifier</t>
        </is>
      </c>
      <c r="C66" s="2" t="inlineStr">
        <is>
          <t>Error Classifier</t>
        </is>
      </c>
      <c r="D66" t="inlineStr">
        <is>
          <t>Observability</t>
        </is>
      </c>
      <c r="E66" t="inlineStr">
        <is>
          <t>AUGMENT</t>
        </is>
      </c>
      <c r="F66" t="inlineStr">
        <is>
          <t>Hermes error_classifier.py</t>
        </is>
      </c>
      <c r="H66" t="inlineStr">
        <is>
          <t>sidecar</t>
        </is>
      </c>
      <c r="I66" s="4" t="inlineStr">
        <is>
          <t>NO_EVIDENCE</t>
        </is>
      </c>
      <c r="J66" t="n">
        <v>0</v>
      </c>
      <c r="K66" t="n">
        <v>55</v>
      </c>
      <c r="L66" t="n">
        <v>55</v>
      </c>
      <c r="M66" s="2" t="inlineStr">
        <is>
          <t>Files claimed but absent: sidecar/diagnostics/error_classifier.py. Create them or correct the path.</t>
        </is>
      </c>
      <c r="N66" s="2" t="inlineStr">
        <is>
          <t>CLAIMED_FILES_MISSING, OVERCLAIM</t>
        </is>
      </c>
      <c r="O66" s="2" t="inlineStr">
        <is>
          <t>sidecar/diagnostics/error_classifier.py</t>
        </is>
      </c>
      <c r="P66" s="2" t="inlineStr">
        <is>
          <t>declared files missing: sidecar/diagnostics/error_classifier.py</t>
        </is>
      </c>
    </row>
    <row r="67">
      <c r="A67" t="inlineStr">
        <is>
          <t>F-0066</t>
        </is>
      </c>
      <c r="B67" s="2" t="inlineStr">
        <is>
          <t>§29.3: Health Checks</t>
        </is>
      </c>
      <c r="C67" s="2" t="inlineStr">
        <is>
          <t>Health Checks</t>
        </is>
      </c>
      <c r="D67" t="inlineStr">
        <is>
          <t>Observability</t>
        </is>
      </c>
      <c r="E67" t="inlineStr">
        <is>
          <t>AUGMENT</t>
        </is>
      </c>
      <c r="F67" t="inlineStr">
        <is>
          <t>Hermes + OpenHuman</t>
        </is>
      </c>
      <c r="H67" t="inlineStr">
        <is>
          <t>sidecar</t>
        </is>
      </c>
      <c r="I67" s="4" t="inlineStr">
        <is>
          <t>NO_EVIDENCE</t>
        </is>
      </c>
      <c r="J67" t="n">
        <v>0</v>
      </c>
      <c r="K67" t="n">
        <v>90</v>
      </c>
      <c r="L67" t="n">
        <v>90</v>
      </c>
      <c r="M67" s="2" t="inlineStr">
        <is>
          <t>Files claimed but absent: locus_cli/main.py. Create them or correct the path.</t>
        </is>
      </c>
      <c r="N67" s="2" t="inlineStr">
        <is>
          <t>CLAIMED_FILES_MISSING, OVERCLAIM</t>
        </is>
      </c>
      <c r="O67" s="2" t="inlineStr">
        <is>
          <t>locus_cli/main.py</t>
        </is>
      </c>
      <c r="P67" s="2" t="inlineStr">
        <is>
          <t>declared files missing: locus_cli/main.py</t>
        </is>
      </c>
    </row>
    <row r="68">
      <c r="A68" t="inlineStr">
        <is>
          <t>F-0067</t>
        </is>
      </c>
      <c r="B68" s="2" t="inlineStr">
        <is>
          <t>§29.4: Notifications</t>
        </is>
      </c>
      <c r="C68" s="2" t="inlineStr">
        <is>
          <t>Notifications</t>
        </is>
      </c>
      <c r="D68" t="inlineStr">
        <is>
          <t>Observability</t>
        </is>
      </c>
      <c r="E68" t="inlineStr">
        <is>
          <t>AUGMENT</t>
        </is>
      </c>
      <c r="F68" t="inlineStr">
        <is>
          <t>Locus</t>
        </is>
      </c>
      <c r="H68" t="inlineStr">
        <is>
          <t>sidecar</t>
        </is>
      </c>
      <c r="I68" s="4" t="inlineStr">
        <is>
          <t>NO_EVIDENCE</t>
        </is>
      </c>
      <c r="J68" t="n">
        <v>0</v>
      </c>
      <c r="K68" t="n">
        <v>65</v>
      </c>
      <c r="L68" t="n">
        <v>65</v>
      </c>
      <c r="M68" s="2" t="inlineStr">
        <is>
          <t>Files claimed but absent: sidecar/gateway/. Create them or correct the path.</t>
        </is>
      </c>
      <c r="N68" s="2" t="inlineStr">
        <is>
          <t>CLAIMED_FILES_MISSING, OVERCLAIM</t>
        </is>
      </c>
      <c r="O68" s="2" t="inlineStr">
        <is>
          <t>sidecar/gateway/</t>
        </is>
      </c>
      <c r="P68" s="2" t="inlineStr">
        <is>
          <t>declared files missing: sidecar/gateway/</t>
        </is>
      </c>
    </row>
    <row r="69">
      <c r="A69" t="inlineStr">
        <is>
          <t>F-0068</t>
        </is>
      </c>
      <c r="B69" s="2" t="inlineStr">
        <is>
          <t>§29.5: Connectivity Check</t>
        </is>
      </c>
      <c r="C69" s="2" t="inlineStr">
        <is>
          <t>Connectivity Check</t>
        </is>
      </c>
      <c r="D69" t="inlineStr">
        <is>
          <t>Observability</t>
        </is>
      </c>
      <c r="E69" t="inlineStr">
        <is>
          <t>AUGMENT</t>
        </is>
      </c>
      <c r="F69" t="inlineStr">
        <is>
          <t>Locus</t>
        </is>
      </c>
      <c r="H69" t="inlineStr">
        <is>
          <t>unknown</t>
        </is>
      </c>
      <c r="I69" s="4" t="inlineStr">
        <is>
          <t>NO_EVIDENCE</t>
        </is>
      </c>
      <c r="J69" t="n">
        <v>0</v>
      </c>
      <c r="K69" t="n">
        <v>60</v>
      </c>
      <c r="L69" t="n">
        <v>60</v>
      </c>
      <c r="M69" s="2" t="inlineStr">
        <is>
          <t>Name the files this feature lives in (evidence.files).</t>
        </is>
      </c>
      <c r="N69" s="2" t="inlineStr">
        <is>
          <t>NO_FILES_NAMED, OVERCLAIM</t>
        </is>
      </c>
      <c r="O69" s="2" t="inlineStr"/>
      <c r="P69" s="2" t="inlineStr">
        <is>
          <t>no evidence files declared</t>
        </is>
      </c>
    </row>
    <row r="70">
      <c r="A70" t="inlineStr">
        <is>
          <t>F-0069</t>
        </is>
      </c>
      <c r="B70" s="2" t="inlineStr">
        <is>
          <t>§29.6: Code Graph Analysis</t>
        </is>
      </c>
      <c r="C70" s="2" t="inlineStr">
        <is>
          <t>Code Graph</t>
        </is>
      </c>
      <c r="D70" t="inlineStr">
        <is>
          <t>Observability</t>
        </is>
      </c>
      <c r="E70" t="inlineStr">
        <is>
          <t>AUGMENT</t>
        </is>
      </c>
      <c r="F70" t="inlineStr">
        <is>
          <t>Locus</t>
        </is>
      </c>
      <c r="H70" t="inlineStr">
        <is>
          <t>infra</t>
        </is>
      </c>
      <c r="I70" s="4" t="inlineStr">
        <is>
          <t>NO_EVIDENCE</t>
        </is>
      </c>
      <c r="J70" t="n">
        <v>0</v>
      </c>
      <c r="K70" t="n">
        <v>50</v>
      </c>
      <c r="L70" t="n">
        <v>50</v>
      </c>
      <c r="M70" s="2" t="inlineStr">
        <is>
          <t>Files claimed but absent: .graphifyignore. Create them or correct the path.</t>
        </is>
      </c>
      <c r="N70" s="2" t="inlineStr">
        <is>
          <t>CLAIMED_FILES_MISSING, OVERCLAIM</t>
        </is>
      </c>
      <c r="O70" s="2" t="inlineStr">
        <is>
          <t>.graphifyignore</t>
        </is>
      </c>
      <c r="P70" s="2" t="inlineStr">
        <is>
          <t>declared files missing: .graphifyignore</t>
        </is>
      </c>
    </row>
    <row r="71">
      <c r="A71" t="inlineStr">
        <is>
          <t>F-0070</t>
        </is>
      </c>
      <c r="B71" s="2" t="inlineStr">
        <is>
          <t>§29.7: Subconscious Background Processing</t>
        </is>
      </c>
      <c r="C71" s="2" t="inlineStr">
        <is>
          <t>Subconscious</t>
        </is>
      </c>
      <c r="D71" t="inlineStr">
        <is>
          <t>Observability</t>
        </is>
      </c>
      <c r="E71" t="inlineStr">
        <is>
          <t>LOCUS-NEW</t>
        </is>
      </c>
      <c r="F71" t="inlineStr">
        <is>
          <t>Locus design spec</t>
        </is>
      </c>
      <c r="H71" t="inlineStr">
        <is>
          <t>sidecar</t>
        </is>
      </c>
      <c r="I71" s="4" t="inlineStr">
        <is>
          <t>NO_EVIDENCE</t>
        </is>
      </c>
      <c r="J71" t="n">
        <v>0</v>
      </c>
      <c r="K71" t="n">
        <v>40</v>
      </c>
      <c r="L71" t="n">
        <v>40</v>
      </c>
      <c r="M71" s="2" t="inlineStr">
        <is>
          <t>Files claimed but absent: sidecar/heartbeat/. Create them or correct the path.</t>
        </is>
      </c>
      <c r="N71" s="2" t="inlineStr">
        <is>
          <t>CLAIMED_FILES_MISSING, OVERCLAIM</t>
        </is>
      </c>
      <c r="O71" s="2" t="inlineStr">
        <is>
          <t>sidecar/heartbeat/</t>
        </is>
      </c>
      <c r="P71" s="2" t="inlineStr">
        <is>
          <t>declared files missing: sidecar/heartbeat/</t>
        </is>
      </c>
    </row>
    <row r="72">
      <c r="A72" t="inlineStr">
        <is>
          <t>F-0071</t>
        </is>
      </c>
      <c r="B72" s="2" t="inlineStr">
        <is>
          <t>§29.8: Workflows</t>
        </is>
      </c>
      <c r="C72" s="2" t="inlineStr">
        <is>
          <t>Workflows</t>
        </is>
      </c>
      <c r="D72" t="inlineStr">
        <is>
          <t>Observability</t>
        </is>
      </c>
      <c r="E72" t="inlineStr">
        <is>
          <t>LOCUS-NEW</t>
        </is>
      </c>
      <c r="F72" t="inlineStr">
        <is>
          <t>Locus design spec</t>
        </is>
      </c>
      <c r="H72" t="inlineStr">
        <is>
          <t>sidecar</t>
        </is>
      </c>
      <c r="I72" s="4" t="inlineStr">
        <is>
          <t>NO_EVIDENCE</t>
        </is>
      </c>
      <c r="J72" t="n">
        <v>0</v>
      </c>
      <c r="K72" t="n">
        <v>55</v>
      </c>
      <c r="L72" t="n">
        <v>55</v>
      </c>
      <c r="M72" s="2" t="inlineStr">
        <is>
          <t>Files claimed but absent: sidecar/scheduler/workflow.py. Create them or correct the path.</t>
        </is>
      </c>
      <c r="N72" s="2" t="inlineStr">
        <is>
          <t>CLAIMED_FILES_MISSING, OVERCLAIM</t>
        </is>
      </c>
      <c r="O72" s="2" t="inlineStr">
        <is>
          <t>sidecar/scheduler/workflow.py</t>
        </is>
      </c>
      <c r="P72" s="2" t="inlineStr">
        <is>
          <t>declared files missing: sidecar/scheduler/workflow.py</t>
        </is>
      </c>
    </row>
    <row r="73">
      <c r="A73" t="inlineStr">
        <is>
          <t>F-0072</t>
        </is>
      </c>
      <c r="B73" s="2" t="inlineStr">
        <is>
          <t>§30.1: Collector + Chunker (Ingestion Pipeline)</t>
        </is>
      </c>
      <c r="C73" s="2" t="inlineStr">
        <is>
          <t>Collector + Chunker</t>
        </is>
      </c>
      <c r="D73" t="inlineStr">
        <is>
          <t>Microsystems</t>
        </is>
      </c>
      <c r="E73" t="inlineStr">
        <is>
          <t>LOCUS-NEW</t>
        </is>
      </c>
      <c r="F73" t="inlineStr">
        <is>
          <t>Locus microsystems.html</t>
        </is>
      </c>
      <c r="H73" t="inlineStr">
        <is>
          <t>sidecar</t>
        </is>
      </c>
      <c r="I73" s="4" t="inlineStr">
        <is>
          <t>NO_EVIDENCE</t>
        </is>
      </c>
      <c r="J73" t="n">
        <v>0</v>
      </c>
      <c r="K73" t="n">
        <v>60</v>
      </c>
      <c r="L73" t="n">
        <v>60</v>
      </c>
      <c r="M73" s="2" t="inlineStr">
        <is>
          <t>Files claimed but absent: sidecar/ingestion/collector.py. Create them or correct the path.</t>
        </is>
      </c>
      <c r="N73" s="2" t="inlineStr">
        <is>
          <t>CLAIMED_FILES_MISSING, OVERCLAIM</t>
        </is>
      </c>
      <c r="O73" s="2" t="inlineStr">
        <is>
          <t>sidecar/ingestion/collector.py</t>
        </is>
      </c>
      <c r="P73" s="2" t="inlineStr">
        <is>
          <t>declared files missing: sidecar/ingestion/collector.py</t>
        </is>
      </c>
    </row>
    <row r="74">
      <c r="A74" t="inlineStr">
        <is>
          <t>F-0073</t>
        </is>
      </c>
      <c r="B74" s="2" t="inlineStr">
        <is>
          <t>§30.2: Cause Chain Engine (Inferred Causation)</t>
        </is>
      </c>
      <c r="C74" s="2" t="inlineStr">
        <is>
          <t>Cause Chain Engine</t>
        </is>
      </c>
      <c r="D74" t="inlineStr">
        <is>
          <t>Microsystems</t>
        </is>
      </c>
      <c r="E74" t="inlineStr">
        <is>
          <t>LOCUS-NEW</t>
        </is>
      </c>
      <c r="F74" t="inlineStr">
        <is>
          <t>Locus comprehensive_design.html</t>
        </is>
      </c>
      <c r="H74" t="inlineStr">
        <is>
          <t>sidecar</t>
        </is>
      </c>
      <c r="I74" s="4" t="inlineStr">
        <is>
          <t>NO_EVIDENCE</t>
        </is>
      </c>
      <c r="J74" t="n">
        <v>0</v>
      </c>
      <c r="K74" t="n">
        <v>55</v>
      </c>
      <c r="L74" t="n">
        <v>55</v>
      </c>
      <c r="M74" s="2" t="inlineStr">
        <is>
          <t>Files claimed but absent: sidecar/cause_chain.py. Create them or correct the path.</t>
        </is>
      </c>
      <c r="N74" s="2" t="inlineStr">
        <is>
          <t>CLAIMED_FILES_MISSING, OVERCLAIM</t>
        </is>
      </c>
      <c r="O74" s="2" t="inlineStr">
        <is>
          <t>sidecar/cause_chain.py</t>
        </is>
      </c>
      <c r="P74" s="2" t="inlineStr">
        <is>
          <t>declared files missing: sidecar/cause_chain.py</t>
        </is>
      </c>
    </row>
    <row r="75">
      <c r="A75" t="inlineStr">
        <is>
          <t>F-0074</t>
        </is>
      </c>
      <c r="B75" s="2" t="inlineStr">
        <is>
          <t>§30.3: SOUL.md / Wants Engine (Personality Layer)</t>
        </is>
      </c>
      <c r="C75" s="2" t="inlineStr">
        <is>
          <t>SOUL.md / Wants Engine</t>
        </is>
      </c>
      <c r="D75" t="inlineStr">
        <is>
          <t>Microsystems</t>
        </is>
      </c>
      <c r="E75" t="inlineStr">
        <is>
          <t>LOCUS-NEW</t>
        </is>
      </c>
      <c r="F75" t="inlineStr">
        <is>
          <t>Locus comprehensive_design.html</t>
        </is>
      </c>
      <c r="H75" t="inlineStr">
        <is>
          <t>sidecar</t>
        </is>
      </c>
      <c r="I75" s="4" t="inlineStr">
        <is>
          <t>NO_EVIDENCE</t>
        </is>
      </c>
      <c r="J75" t="n">
        <v>0</v>
      </c>
      <c r="K75" t="n">
        <v>55</v>
      </c>
      <c r="L75" t="n">
        <v>55</v>
      </c>
      <c r="M75" s="2" t="inlineStr">
        <is>
          <t>Files claimed but absent: sidecar/soul.py. Create them or correct the path.</t>
        </is>
      </c>
      <c r="N75" s="2" t="inlineStr">
        <is>
          <t>CLAIMED_FILES_MISSING, OVERCLAIM</t>
        </is>
      </c>
      <c r="O75" s="2" t="inlineStr">
        <is>
          <t>sidecar/soul.py</t>
        </is>
      </c>
      <c r="P75" s="2" t="inlineStr">
        <is>
          <t>declared files missing: sidecar/soul.py</t>
        </is>
      </c>
    </row>
    <row r="76">
      <c r="A76" t="inlineStr">
        <is>
          <t>F-0075</t>
        </is>
      </c>
      <c r="B76" s="2" t="inlineStr">
        <is>
          <t>§30.4: Content Engine (8-Step Social &amp; Thought Publication Pipeline)</t>
        </is>
      </c>
      <c r="C76" s="2" t="inlineStr">
        <is>
          <t>Content Engine</t>
        </is>
      </c>
      <c r="D76" t="inlineStr">
        <is>
          <t>Microsystems</t>
        </is>
      </c>
      <c r="E76" t="inlineStr">
        <is>
          <t>LOCUS-NEW</t>
        </is>
      </c>
      <c r="F76" t="inlineStr">
        <is>
          <t>Locus microsystems.html</t>
        </is>
      </c>
      <c r="H76" t="inlineStr">
        <is>
          <t>sidecar</t>
        </is>
      </c>
      <c r="I76" s="4" t="inlineStr">
        <is>
          <t>NO_EVIDENCE</t>
        </is>
      </c>
      <c r="J76" t="n">
        <v>0</v>
      </c>
      <c r="K76" t="n">
        <v>60</v>
      </c>
      <c r="L76" t="n">
        <v>60</v>
      </c>
      <c r="M76" s="2" t="inlineStr">
        <is>
          <t>Files claimed but absent: sidecar/content/engine.py. Create them or correct the path.</t>
        </is>
      </c>
      <c r="N76" s="2" t="inlineStr">
        <is>
          <t>CLAIMED_FILES_MISSING, LOW_CONFIDENCE_MAPPING, OVERCLAIM</t>
        </is>
      </c>
      <c r="O76" s="2" t="inlineStr">
        <is>
          <t>sidecar/content/engine.py</t>
        </is>
      </c>
      <c r="P76" s="2" t="inlineStr">
        <is>
          <t>declared files missing: sidecar/content/engine.py</t>
        </is>
      </c>
    </row>
    <row r="77">
      <c r="A77" t="inlineStr">
        <is>
          <t>F-0076</t>
        </is>
      </c>
      <c r="B77" s="2" t="inlineStr">
        <is>
          <t>§30.5: Spaced Repetition Engine</t>
        </is>
      </c>
      <c r="C77" s="2" t="inlineStr">
        <is>
          <t>Spaced Repetition</t>
        </is>
      </c>
      <c r="D77" t="inlineStr">
        <is>
          <t>Microsystems</t>
        </is>
      </c>
      <c r="E77" t="inlineStr">
        <is>
          <t>LOCUS-NEW</t>
        </is>
      </c>
      <c r="F77" t="inlineStr">
        <is>
          <t>Locus microsystems.html</t>
        </is>
      </c>
      <c r="H77" t="inlineStr">
        <is>
          <t>sidecar</t>
        </is>
      </c>
      <c r="I77" s="4" t="inlineStr">
        <is>
          <t>NO_EVIDENCE</t>
        </is>
      </c>
      <c r="J77" t="n">
        <v>0</v>
      </c>
      <c r="K77" t="n">
        <v>60</v>
      </c>
      <c r="L77" t="n">
        <v>60</v>
      </c>
      <c r="M77" s="2" t="inlineStr">
        <is>
          <t>Files claimed but absent: sidecar/spaced_rep.py. Create them or correct the path.</t>
        </is>
      </c>
      <c r="N77" s="2" t="inlineStr">
        <is>
          <t>CLAIMED_FILES_MISSING, OVERCLAIM</t>
        </is>
      </c>
      <c r="O77" s="2" t="inlineStr">
        <is>
          <t>sidecar/spaced_rep.py</t>
        </is>
      </c>
      <c r="P77" s="2" t="inlineStr">
        <is>
          <t>declared files missing: sidecar/spaced_rep.py</t>
        </is>
      </c>
    </row>
    <row r="78">
      <c r="A78" t="inlineStr">
        <is>
          <t>F-0077</t>
        </is>
      </c>
      <c r="B78" s="2" t="inlineStr">
        <is>
          <t>§30.6: QLoRA Fine-Tuning Pipeline</t>
        </is>
      </c>
      <c r="C78" s="2" t="inlineStr">
        <is>
          <t>QLoRA Pipeline</t>
        </is>
      </c>
      <c r="D78" t="inlineStr">
        <is>
          <t>Microsystems</t>
        </is>
      </c>
      <c r="E78" t="inlineStr">
        <is>
          <t>LOCUS-NEW</t>
        </is>
      </c>
      <c r="F78" t="inlineStr">
        <is>
          <t>Locus pyramid.html</t>
        </is>
      </c>
      <c r="H78" t="inlineStr">
        <is>
          <t>sidecar</t>
        </is>
      </c>
      <c r="I78" s="4" t="inlineStr">
        <is>
          <t>NO_EVIDENCE</t>
        </is>
      </c>
      <c r="J78" t="n">
        <v>0</v>
      </c>
      <c r="K78" t="n">
        <v>25</v>
      </c>
      <c r="L78" t="n">
        <v>25</v>
      </c>
      <c r="M78" s="2" t="inlineStr">
        <is>
          <t>Files claimed but absent: sidecar/evolution/dataset_curator.py. Create them or correct the path.</t>
        </is>
      </c>
      <c r="N78" s="2" t="inlineStr">
        <is>
          <t>CLAIMED_FILES_MISSING, OVERCLAIM</t>
        </is>
      </c>
      <c r="O78" s="2" t="inlineStr">
        <is>
          <t>sidecar/evolution/dataset_curator.py</t>
        </is>
      </c>
      <c r="P78" s="2" t="inlineStr">
        <is>
          <t>declared files missing: sidecar/evolution/dataset_curator.py</t>
        </is>
      </c>
    </row>
    <row r="79">
      <c r="A79" t="inlineStr">
        <is>
          <t>F-0078</t>
        </is>
      </c>
      <c r="B79" s="2" t="inlineStr">
        <is>
          <t>§30.7: Master Conductor (11-Step Ingress-to-Egress Pipeline)</t>
        </is>
      </c>
      <c r="C79" s="2" t="inlineStr">
        <is>
          <t>Master Conductor</t>
        </is>
      </c>
      <c r="D79" t="inlineStr">
        <is>
          <t>Microsystems</t>
        </is>
      </c>
      <c r="E79" t="inlineStr">
        <is>
          <t>LOCUS-NEW</t>
        </is>
      </c>
      <c r="F79" t="inlineStr">
        <is>
          <t>Locus microsystems.html</t>
        </is>
      </c>
      <c r="H79" t="inlineStr">
        <is>
          <t>sidecar</t>
        </is>
      </c>
      <c r="I79" s="4" t="inlineStr">
        <is>
          <t>NO_EVIDENCE</t>
        </is>
      </c>
      <c r="J79" t="n">
        <v>0</v>
      </c>
      <c r="K79" t="n">
        <v>90</v>
      </c>
      <c r="L79" t="n">
        <v>90</v>
      </c>
      <c r="M79" s="2" t="inlineStr">
        <is>
          <t>Files claimed but absent: sidecar/conductor.py. Create them or correct the path.</t>
        </is>
      </c>
      <c r="N79" s="2" t="inlineStr">
        <is>
          <t>CLAIMED_FILES_MISSING, OVERCLAIM</t>
        </is>
      </c>
      <c r="O79" s="2" t="inlineStr">
        <is>
          <t>sidecar/conductor.py</t>
        </is>
      </c>
      <c r="P79" s="2" t="inlineStr">
        <is>
          <t>declared files missing: sidecar/conductor.py</t>
        </is>
      </c>
    </row>
    <row r="80">
      <c r="A80" t="inlineStr">
        <is>
          <t>F-0079</t>
        </is>
      </c>
      <c r="B80" s="2" t="inlineStr">
        <is>
          <t>§30.8: Real-Time Dashboard &amp; TUI Specification (6-Step Architecture)</t>
        </is>
      </c>
      <c r="C80" s="2" t="inlineStr">
        <is>
          <t>Dashboard/TUI Spec</t>
        </is>
      </c>
      <c r="D80" t="inlineStr">
        <is>
          <t>Microsystems</t>
        </is>
      </c>
      <c r="E80" t="inlineStr">
        <is>
          <t>LOCUS-NEW</t>
        </is>
      </c>
      <c r="F80" t="inlineStr">
        <is>
          <t>Locus microsystems.html</t>
        </is>
      </c>
      <c r="H80" t="inlineStr">
        <is>
          <t>sidecar</t>
        </is>
      </c>
      <c r="I80" s="4" t="inlineStr">
        <is>
          <t>NO_EVIDENCE</t>
        </is>
      </c>
      <c r="J80" t="n">
        <v>0</v>
      </c>
      <c r="K80" t="n">
        <v>45</v>
      </c>
      <c r="L80" t="n">
        <v>45</v>
      </c>
      <c r="M80" s="2" t="inlineStr">
        <is>
          <t>Files claimed but absent: locus_cli/curses_ui.py. Create them or correct the path.</t>
        </is>
      </c>
      <c r="N80" s="2" t="inlineStr">
        <is>
          <t>CLAIMED_FILES_MISSING, OVERCLAIM</t>
        </is>
      </c>
      <c r="O80" s="2" t="inlineStr">
        <is>
          <t>locus_cli/curses_ui.py</t>
        </is>
      </c>
      <c r="P80" s="2" t="inlineStr">
        <is>
          <t>declared files missing: locus_cli/curses_ui.py</t>
        </is>
      </c>
    </row>
    <row r="81">
      <c r="A81" t="inlineStr">
        <is>
          <t>F-0080</t>
        </is>
      </c>
      <c r="B81" s="2" t="inlineStr">
        <is>
          <t>§30.9: Redis High-Performance State &amp; Pub/Sub Integration</t>
        </is>
      </c>
      <c r="C81" s="2" t="inlineStr">
        <is>
          <t>Redis Integration</t>
        </is>
      </c>
      <c r="D81" t="inlineStr">
        <is>
          <t>Microsystems</t>
        </is>
      </c>
      <c r="E81" t="inlineStr">
        <is>
          <t>LOCUS-NEW</t>
        </is>
      </c>
      <c r="F81" t="inlineStr">
        <is>
          <t>Locus microsystems.html</t>
        </is>
      </c>
      <c r="H81" t="inlineStr">
        <is>
          <t>sidecar</t>
        </is>
      </c>
      <c r="I81" s="4" t="inlineStr">
        <is>
          <t>NO_EVIDENCE</t>
        </is>
      </c>
      <c r="J81" t="n">
        <v>0</v>
      </c>
      <c r="K81" t="n">
        <v>55</v>
      </c>
      <c r="L81" t="n">
        <v>55</v>
      </c>
      <c r="M81" s="2" t="inlineStr">
        <is>
          <t>Files claimed but absent: sidecar/redis_state.py. Create them or correct the path.</t>
        </is>
      </c>
      <c r="N81" s="2" t="inlineStr">
        <is>
          <t>CLAIMED_FILES_MISSING, OVERCLAIM</t>
        </is>
      </c>
      <c r="O81" s="2" t="inlineStr">
        <is>
          <t>sidecar/redis_state.py</t>
        </is>
      </c>
      <c r="P81" s="2" t="inlineStr">
        <is>
          <t>declared files missing: sidecar/redis_state.py</t>
        </is>
      </c>
    </row>
    <row r="82">
      <c r="A82" t="inlineStr">
        <is>
          <t>F-0081</t>
        </is>
      </c>
      <c r="B82" s="2" t="inlineStr">
        <is>
          <t>§30.10: Obsidian &amp; LightRAG Dual-Index Knowledge Bridge</t>
        </is>
      </c>
      <c r="C82" s="2" t="inlineStr">
        <is>
          <t>Obsidian/LightRAG Bridge</t>
        </is>
      </c>
      <c r="D82" t="inlineStr">
        <is>
          <t>Microsystems</t>
        </is>
      </c>
      <c r="E82" t="inlineStr">
        <is>
          <t>LOCUS-NEW</t>
        </is>
      </c>
      <c r="F82" t="inlineStr">
        <is>
          <t>Locus microsystems.html</t>
        </is>
      </c>
      <c r="H82" t="inlineStr">
        <is>
          <t>sidecar</t>
        </is>
      </c>
      <c r="I82" s="4" t="inlineStr">
        <is>
          <t>NO_EVIDENCE</t>
        </is>
      </c>
      <c r="J82" t="n">
        <v>0</v>
      </c>
      <c r="K82" t="n">
        <v>45</v>
      </c>
      <c r="L82" t="n">
        <v>45</v>
      </c>
      <c r="M82" s="2" t="inlineStr">
        <is>
          <t>Files claimed but absent: sidecar/vault/lightrag_bridge.py. Create them or correct the path.</t>
        </is>
      </c>
      <c r="N82" s="2" t="inlineStr">
        <is>
          <t>CLAIMED_FILES_MISSING, OVERCLAIM</t>
        </is>
      </c>
      <c r="O82" s="2" t="inlineStr">
        <is>
          <t>sidecar/vault/lightrag_bridge.py</t>
        </is>
      </c>
      <c r="P82" s="2" t="inlineStr">
        <is>
          <t>declared files missing: sidecar/vault/lightrag_bridge.py</t>
        </is>
      </c>
    </row>
    <row r="83">
      <c r="A83" t="inlineStr">
        <is>
          <t>F-0082</t>
        </is>
      </c>
      <c r="B83" s="2" t="inlineStr">
        <is>
          <t>(not a spec section)</t>
        </is>
      </c>
      <c r="C83" s="2" t="inlineStr">
        <is>
          <t>Install Script (ALL platforms)</t>
        </is>
      </c>
      <c r="D83" t="inlineStr">
        <is>
          <t>Infrastructure</t>
        </is>
      </c>
      <c r="E83" t="inlineStr">
        <is>
          <t>LOCUS-NEW</t>
        </is>
      </c>
      <c r="F83" t="inlineStr">
        <is>
          <t>Locus design</t>
        </is>
      </c>
      <c r="H83" t="inlineStr">
        <is>
          <t>unknown</t>
        </is>
      </c>
      <c r="I83" s="4" t="inlineStr">
        <is>
          <t>NO_EVIDENCE</t>
        </is>
      </c>
      <c r="J83" t="n">
        <v>0</v>
      </c>
      <c r="K83" t="n">
        <v>100</v>
      </c>
      <c r="L83" t="n">
        <v>100</v>
      </c>
      <c r="M83" s="2" t="inlineStr">
        <is>
          <t>Files claimed but absent: install.ps1, install.sh, install.bat, locus.bat .... Create them or correct the path.</t>
        </is>
      </c>
      <c r="N83" s="2" t="inlineStr">
        <is>
          <t>CLAIMED_FILES_MISSING, OVERCLAIM</t>
        </is>
      </c>
      <c r="O83" s="2" t="inlineStr">
        <is>
          <t>install.ps1, install.sh, install.bat, locus.bat, locus.cmd</t>
        </is>
      </c>
      <c r="P83" s="2" t="inlineStr">
        <is>
          <t>declared files missing: install.ps1, install.sh, install.bat, locus.bat, locus.cmd</t>
        </is>
      </c>
    </row>
    <row r="84">
      <c r="A84" t="inlineStr">
        <is>
          <t>F-0083</t>
        </is>
      </c>
      <c r="B84" s="2" t="inlineStr">
        <is>
          <t>(not a spec section)</t>
        </is>
      </c>
      <c r="C84" s="2" t="inlineStr">
        <is>
          <t>Telegram Setup via /setup command</t>
        </is>
      </c>
      <c r="D84" t="inlineStr">
        <is>
          <t>Infrastructure</t>
        </is>
      </c>
      <c r="E84" t="inlineStr">
        <is>
          <t>LOCUS-NEW</t>
        </is>
      </c>
      <c r="F84" t="inlineStr">
        <is>
          <t>Locus design</t>
        </is>
      </c>
      <c r="H84" t="inlineStr">
        <is>
          <t>unknown</t>
        </is>
      </c>
      <c r="I84" s="4" t="inlineStr">
        <is>
          <t>NO_EVIDENCE</t>
        </is>
      </c>
      <c r="J84" t="n">
        <v>0</v>
      </c>
      <c r="K84" t="n">
        <v>100</v>
      </c>
      <c r="L84" t="n">
        <v>100</v>
      </c>
      <c r="M84" s="2" t="inlineStr">
        <is>
          <t>Name the files this feature lives in (evidence.files).</t>
        </is>
      </c>
      <c r="N84" s="2" t="inlineStr">
        <is>
          <t>NO_FILES_NAMED, OVERCLAIM</t>
        </is>
      </c>
      <c r="O84" s="2" t="inlineStr"/>
      <c r="P84" s="2" t="inlineStr">
        <is>
          <t>no evidence files declared</t>
        </is>
      </c>
    </row>
    <row r="85">
      <c r="A85" t="inlineStr">
        <is>
          <t>F-0084</t>
        </is>
      </c>
      <c r="B85" s="2" t="inlineStr">
        <is>
          <t>(not a spec section)</t>
        </is>
      </c>
      <c r="C85" s="2" t="inlineStr">
        <is>
          <t>core/ vs sidecar/ Deduplication</t>
        </is>
      </c>
      <c r="D85" t="inlineStr">
        <is>
          <t>Infrastructure</t>
        </is>
      </c>
      <c r="E85" t="inlineStr">
        <is>
          <t>UNKNOWN</t>
        </is>
      </c>
      <c r="F85" t="inlineStr">
        <is>
          <t>Internal cleanup</t>
        </is>
      </c>
      <c r="H85" t="inlineStr">
        <is>
          <t>sidecar</t>
        </is>
      </c>
      <c r="I85" s="4" t="inlineStr">
        <is>
          <t>NO_EVIDENCE</t>
        </is>
      </c>
      <c r="J85" t="n">
        <v>0</v>
      </c>
      <c r="K85" t="n">
        <v>100</v>
      </c>
      <c r="L85" t="n">
        <v>100</v>
      </c>
      <c r="M85" s="2" t="inlineStr">
        <is>
          <t>Files claimed but absent: sidecar/, sidecar/__init__.py. Create them or correct the path.</t>
        </is>
      </c>
      <c r="N85" s="2" t="inlineStr">
        <is>
          <t>CLAIMED_FILES_MISSING, OVERCLAIM</t>
        </is>
      </c>
      <c r="O85" s="2" t="inlineStr">
        <is>
          <t>sidecar/, sidecar/__init__.py</t>
        </is>
      </c>
      <c r="P85" s="2" t="inlineStr">
        <is>
          <t>declared files missing: sidecar/, sidecar/__init__.py</t>
        </is>
      </c>
    </row>
    <row r="86">
      <c r="A86" t="inlineStr">
        <is>
          <t>F-0085</t>
        </is>
      </c>
      <c r="B86" s="2" t="inlineStr">
        <is>
          <t>(not a spec section)</t>
        </is>
      </c>
      <c r="C86" s="2" t="inlineStr">
        <is>
          <t>VM Backend Setup</t>
        </is>
      </c>
      <c r="D86" t="inlineStr">
        <is>
          <t>Infrastructure</t>
        </is>
      </c>
      <c r="E86" t="inlineStr">
        <is>
          <t>LOCUS-NEW</t>
        </is>
      </c>
      <c r="F86" t="inlineStr">
        <is>
          <t>Locus design</t>
        </is>
      </c>
      <c r="H86" t="inlineStr">
        <is>
          <t>infra</t>
        </is>
      </c>
      <c r="I86" s="4" t="inlineStr">
        <is>
          <t>NO_EVIDENCE</t>
        </is>
      </c>
      <c r="J86" t="n">
        <v>0</v>
      </c>
      <c r="K86" t="n">
        <v>100</v>
      </c>
      <c r="L86" t="n">
        <v>100</v>
      </c>
      <c r="M86" s="2" t="inlineStr">
        <is>
          <t>Files claimed but absent: HEADLESS_VM_AND_CRON_SETUP_GUIDE.md, install.sh, install.ps1, docker-compose.yml. Create them or correct the path.</t>
        </is>
      </c>
      <c r="N86" s="2" t="inlineStr">
        <is>
          <t>CLAIMED_FILES_MISSING, OVERCLAIM</t>
        </is>
      </c>
      <c r="O86" s="2" t="inlineStr">
        <is>
          <t>HEADLESS_VM_AND_CRON_SETUP_GUIDE.md, install.sh, install.ps1, docker-compose.yml</t>
        </is>
      </c>
      <c r="P86" s="2" t="inlineStr">
        <is>
          <t>declared files missing: HEADLESS_VM_AND_CRON_SETUP_GUIDE.md, install.sh, install.ps1, docker-compose.yml</t>
        </is>
      </c>
    </row>
    <row r="87">
      <c r="A87" t="inlineStr">
        <is>
          <t>F-0086</t>
        </is>
      </c>
      <c r="B87" s="2" t="inlineStr">
        <is>
          <t>(not a spec section)</t>
        </is>
      </c>
      <c r="C87" s="2" t="inlineStr">
        <is>
          <t>Deployment (systemd/Docker)</t>
        </is>
      </c>
      <c r="D87" t="inlineStr">
        <is>
          <t>Infrastructure</t>
        </is>
      </c>
      <c r="E87" t="inlineStr">
        <is>
          <t>AUGMENT</t>
        </is>
      </c>
      <c r="F87" t="inlineStr">
        <is>
          <t>Locus design</t>
        </is>
      </c>
      <c r="H87" t="inlineStr">
        <is>
          <t>infra</t>
        </is>
      </c>
      <c r="I87" s="4" t="inlineStr">
        <is>
          <t>NO_EVIDENCE</t>
        </is>
      </c>
      <c r="J87" t="n">
        <v>0</v>
      </c>
      <c r="K87" t="n">
        <v>65</v>
      </c>
      <c r="L87" t="n">
        <v>65</v>
      </c>
      <c r="M87" s="2" t="inlineStr">
        <is>
          <t>Files claimed but absent: docker-compose.yml. Create them or correct the path.</t>
        </is>
      </c>
      <c r="N87" s="2" t="inlineStr">
        <is>
          <t>CLAIMED_FILES_MISSING, OVERCLAIM</t>
        </is>
      </c>
      <c r="O87" s="2" t="inlineStr">
        <is>
          <t>docker-compose.yml</t>
        </is>
      </c>
      <c r="P87" s="2" t="inlineStr">
        <is>
          <t>declared files missing: docker-compose.yml</t>
        </is>
      </c>
    </row>
    <row r="88">
      <c r="A88" t="inlineStr">
        <is>
          <t>F-0087</t>
        </is>
      </c>
      <c r="B88" s="2" t="inlineStr">
        <is>
          <t>(not a spec section)</t>
        </is>
      </c>
      <c r="C88" s="2" t="inlineStr">
        <is>
          <t>ARCH-6 Pi bridge (sidecar -&gt; Pi CLI, used by cron + Telegram + conductor)</t>
        </is>
      </c>
      <c r="D88" t="inlineStr">
        <is>
          <t>Infrastructure</t>
        </is>
      </c>
      <c r="E88" t="inlineStr">
        <is>
          <t>LOCUS-NEW</t>
        </is>
      </c>
      <c r="F88" t="inlineStr">
        <is>
          <t>Locus-original</t>
        </is>
      </c>
      <c r="H88" t="inlineStr">
        <is>
          <t>sidecar</t>
        </is>
      </c>
      <c r="I88" s="4" t="inlineStr">
        <is>
          <t>NO_EVIDENCE</t>
        </is>
      </c>
      <c r="J88" t="n">
        <v>0</v>
      </c>
      <c r="M88" s="2" t="inlineStr">
        <is>
          <t>Files claimed but absent: sidecar/pi_bridge.py, sidecar/cron_runner.py. Create them or correct the path.</t>
        </is>
      </c>
      <c r="N88" s="2" t="inlineStr">
        <is>
          <t>CLAIMED_FILES_MISSING</t>
        </is>
      </c>
      <c r="O88" s="2" t="inlineStr">
        <is>
          <t>sidecar/pi_bridge.py, sidecar/cron_runner.py</t>
        </is>
      </c>
      <c r="P88" s="2" t="inlineStr">
        <is>
          <t>declared files missing: sidecar/pi_bridge.py, sidecar/cron_runner.py</t>
        </is>
      </c>
    </row>
    <row r="89">
      <c r="A89" t="inlineStr">
        <is>
          <t>F-0088</t>
        </is>
      </c>
      <c r="B89" s="2" t="inlineStr">
        <is>
          <t>§4.5: Memory Tree (Hierarchical Summarization Cascade)</t>
        </is>
      </c>
      <c r="C89" s="2" t="inlineStr">
        <is>
          <t>Memory Tree (Hierarchical Summarization Cascade)</t>
        </is>
      </c>
      <c r="E89" t="inlineStr">
        <is>
          <t>AUGMENT</t>
        </is>
      </c>
      <c r="H89" t="inlineStr">
        <is>
          <t>unknown</t>
        </is>
      </c>
      <c r="I89" s="4" t="inlineStr">
        <is>
          <t>NO_EVIDENCE</t>
        </is>
      </c>
      <c r="J89" t="n">
        <v>0</v>
      </c>
      <c r="M89" s="2" t="inlineStr">
        <is>
          <t>Name the files this feature lives in (evidence.files).</t>
        </is>
      </c>
      <c r="N89" s="2" t="inlineStr"/>
      <c r="O89" s="2" t="inlineStr"/>
      <c r="P89" s="2" t="inlineStr">
        <is>
          <t>no evidence files declared</t>
        </is>
      </c>
    </row>
    <row r="90">
      <c r="A90" t="inlineStr">
        <is>
          <t>F-0089</t>
        </is>
      </c>
      <c r="B90" s="2" t="inlineStr">
        <is>
          <t>§4.7: Memory Sync (Multi-Source Ingestion Pipelines)</t>
        </is>
      </c>
      <c r="C90" s="2" t="inlineStr">
        <is>
          <t>Memory Sync (Multi-Source Ingestion Pipelines)</t>
        </is>
      </c>
      <c r="E90" t="inlineStr">
        <is>
          <t>AUGMENT</t>
        </is>
      </c>
      <c r="H90" t="inlineStr">
        <is>
          <t>unknown</t>
        </is>
      </c>
      <c r="I90" s="4" t="inlineStr">
        <is>
          <t>NO_EVIDENCE</t>
        </is>
      </c>
      <c r="J90" t="n">
        <v>0</v>
      </c>
      <c r="M90" s="2" t="inlineStr">
        <is>
          <t>Name the files this feature lives in (evidence.files).</t>
        </is>
      </c>
      <c r="N90" s="2" t="inlineStr"/>
      <c r="O90" s="2" t="inlineStr"/>
      <c r="P90" s="2" t="inlineStr">
        <is>
          <t>no evidence files declared</t>
        </is>
      </c>
    </row>
    <row r="91">
      <c r="A91" t="inlineStr">
        <is>
          <t>F-0090</t>
        </is>
      </c>
      <c r="B91" s="2" t="inlineStr">
        <is>
          <t>§4.8: Memory Queue (Async Job Pipeline)</t>
        </is>
      </c>
      <c r="C91" s="2" t="inlineStr">
        <is>
          <t>Memory Queue (Async Job Pipeline)</t>
        </is>
      </c>
      <c r="E91" t="inlineStr">
        <is>
          <t>AUGMENT</t>
        </is>
      </c>
      <c r="H91" t="inlineStr">
        <is>
          <t>unknown</t>
        </is>
      </c>
      <c r="I91" s="4" t="inlineStr">
        <is>
          <t>NO_EVIDENCE</t>
        </is>
      </c>
      <c r="J91" t="n">
        <v>0</v>
      </c>
      <c r="M91" s="2" t="inlineStr">
        <is>
          <t>Name the files this feature lives in (evidence.files).</t>
        </is>
      </c>
      <c r="N91" s="2" t="inlineStr"/>
      <c r="O91" s="2" t="inlineStr"/>
      <c r="P91" s="2" t="inlineStr">
        <is>
          <t>no evidence files declared</t>
        </is>
      </c>
    </row>
    <row r="92">
      <c r="A92" t="inlineStr">
        <is>
          <t>F-0091</t>
        </is>
      </c>
      <c r="B92" s="2" t="inlineStr">
        <is>
          <t>§4.9: Memory Diff (Snapshot-Based Change Tracking)</t>
        </is>
      </c>
      <c r="C92" s="2" t="inlineStr">
        <is>
          <t>Memory Diff (Snapshot-Based Change Tracking)</t>
        </is>
      </c>
      <c r="E92" t="inlineStr">
        <is>
          <t>LOCUS-NEW</t>
        </is>
      </c>
      <c r="H92" t="inlineStr">
        <is>
          <t>unknown</t>
        </is>
      </c>
      <c r="I92" s="4" t="inlineStr">
        <is>
          <t>NO_EVIDENCE</t>
        </is>
      </c>
      <c r="J92" t="n">
        <v>0</v>
      </c>
      <c r="M92" s="2" t="inlineStr">
        <is>
          <t>Name the files this feature lives in (evidence.files).</t>
        </is>
      </c>
      <c r="N92" s="2" t="inlineStr"/>
      <c r="O92" s="2" t="inlineStr"/>
      <c r="P92" s="2" t="inlineStr">
        <is>
          <t>no evidence files declared</t>
        </is>
      </c>
    </row>
    <row r="93">
      <c r="A93" t="inlineStr">
        <is>
          <t>F-0092</t>
        </is>
      </c>
      <c r="B93" s="2" t="inlineStr">
        <is>
          <t>§2.1-2.3: Query Router / Intent Classifier (Stage 2)</t>
        </is>
      </c>
      <c r="C93" s="2" t="inlineStr">
        <is>
          <t>Query Router / Intent Classifier (Stage 2)</t>
        </is>
      </c>
      <c r="E93" t="inlineStr">
        <is>
          <t>UNKNOWN</t>
        </is>
      </c>
      <c r="H93" t="inlineStr">
        <is>
          <t>unknown</t>
        </is>
      </c>
      <c r="I93" s="4" t="inlineStr">
        <is>
          <t>NO_EVIDENCE</t>
        </is>
      </c>
      <c r="J93" t="n">
        <v>0</v>
      </c>
      <c r="M93" s="2" t="inlineStr">
        <is>
          <t>Name the files this feature lives in (evidence.files).</t>
        </is>
      </c>
      <c r="N93" s="2" t="inlineStr"/>
      <c r="O93" s="2" t="inlineStr"/>
      <c r="P93" s="2" t="inlineStr">
        <is>
          <t>no evidence files declared</t>
        </is>
      </c>
    </row>
    <row r="94">
      <c r="A94" t="inlineStr">
        <is>
          <t>F-0093</t>
        </is>
      </c>
      <c r="B94" s="2" t="inlineStr">
        <is>
          <t>§2.4: State Engine (Stage 3)</t>
        </is>
      </c>
      <c r="C94" s="2" t="inlineStr">
        <is>
          <t>State Engine (Stage 3)</t>
        </is>
      </c>
      <c r="E94" t="inlineStr">
        <is>
          <t>UNKNOWN</t>
        </is>
      </c>
      <c r="H94" t="inlineStr">
        <is>
          <t>unknown</t>
        </is>
      </c>
      <c r="I94" s="4" t="inlineStr">
        <is>
          <t>NO_EVIDENCE</t>
        </is>
      </c>
      <c r="J94" t="n">
        <v>0</v>
      </c>
      <c r="M94" s="2" t="inlineStr">
        <is>
          <t>Name the files this feature lives in (evidence.files).</t>
        </is>
      </c>
      <c r="N94" s="2" t="inlineStr"/>
      <c r="O94" s="2" t="inlineStr"/>
      <c r="P94" s="2" t="inlineStr">
        <is>
          <t>no evidence files declared</t>
        </is>
      </c>
    </row>
    <row r="95">
      <c r="A95" t="inlineStr">
        <is>
          <t>F-0094</t>
        </is>
      </c>
      <c r="B95" s="2" t="inlineStr">
        <is>
          <t>§2.5: Context Forge (Stage 6) — The 6-Layer Assembler</t>
        </is>
      </c>
      <c r="C95" s="2" t="inlineStr">
        <is>
          <t>Context Forge (Stage 6) — The 6-Layer Assembler</t>
        </is>
      </c>
      <c r="E95" t="inlineStr">
        <is>
          <t>UNKNOWN</t>
        </is>
      </c>
      <c r="H95" t="inlineStr">
        <is>
          <t>unknown</t>
        </is>
      </c>
      <c r="I95" s="4" t="inlineStr">
        <is>
          <t>NO_EVIDENCE</t>
        </is>
      </c>
      <c r="J95" t="n">
        <v>0</v>
      </c>
      <c r="M95" s="2" t="inlineStr">
        <is>
          <t>Name the files this feature lives in (evidence.files).</t>
        </is>
      </c>
      <c r="N95" s="2" t="inlineStr"/>
      <c r="O95" s="2" t="inlineStr"/>
      <c r="P95" s="2" t="inlineStr">
        <is>
          <t>no evidence files declared</t>
        </is>
      </c>
    </row>
    <row r="96">
      <c r="A96" t="inlineStr">
        <is>
          <t>F-0095</t>
        </is>
      </c>
      <c r="B96" s="2" t="inlineStr">
        <is>
          <t>§2.6: Anti-Hallucination Guard (Stage 10)</t>
        </is>
      </c>
      <c r="C96" s="2" t="inlineStr">
        <is>
          <t>Anti-Hallucination Guard (Stage 10)</t>
        </is>
      </c>
      <c r="E96" t="inlineStr">
        <is>
          <t>UNKNOWN</t>
        </is>
      </c>
      <c r="H96" t="inlineStr">
        <is>
          <t>unknown</t>
        </is>
      </c>
      <c r="I96" s="4" t="inlineStr">
        <is>
          <t>NO_EVIDENCE</t>
        </is>
      </c>
      <c r="J96" t="n">
        <v>0</v>
      </c>
      <c r="M96" s="2" t="inlineStr">
        <is>
          <t>Name the files this feature lives in (evidence.files).</t>
        </is>
      </c>
      <c r="N96" s="2" t="inlineStr"/>
      <c r="O96" s="2" t="inlineStr"/>
      <c r="P96" s="2" t="inlineStr">
        <is>
          <t>no evidence files declared</t>
        </is>
      </c>
    </row>
    <row r="97">
      <c r="A97" t="inlineStr">
        <is>
          <t>F-0096</t>
        </is>
      </c>
      <c r="B97" s="2" t="inlineStr">
        <is>
          <t>§2.7-2.8: Intelligent Model Routing + Quality-Based Fallback</t>
        </is>
      </c>
      <c r="C97" s="2" t="inlineStr">
        <is>
          <t>Intelligent Model Routing + Quality-Based Fallback</t>
        </is>
      </c>
      <c r="E97" t="inlineStr">
        <is>
          <t>AUGMENT</t>
        </is>
      </c>
      <c r="H97" t="inlineStr">
        <is>
          <t>unknown</t>
        </is>
      </c>
      <c r="I97" s="4" t="inlineStr">
        <is>
          <t>NO_EVIDENCE</t>
        </is>
      </c>
      <c r="J97" t="n">
        <v>0</v>
      </c>
      <c r="M97" s="2" t="inlineStr">
        <is>
          <t>Name the files this feature lives in (evidence.files).</t>
        </is>
      </c>
      <c r="N97" s="2" t="inlineStr"/>
      <c r="O97" s="2" t="inlineStr"/>
      <c r="P97" s="2" t="inlineStr">
        <is>
          <t>no evidence files declared</t>
        </is>
      </c>
    </row>
    <row r="98">
      <c r="A98" t="inlineStr">
        <is>
          <t>F-0097</t>
        </is>
      </c>
      <c r="B98" s="2" t="inlineStr">
        <is>
          <t>§2.6a: Streaming (SSE)</t>
        </is>
      </c>
      <c r="C98" s="2" t="inlineStr">
        <is>
          <t>Streaming (SSE)</t>
        </is>
      </c>
      <c r="E98" t="inlineStr">
        <is>
          <t>KEEP-PI</t>
        </is>
      </c>
      <c r="H98" t="inlineStr">
        <is>
          <t>unknown</t>
        </is>
      </c>
      <c r="I98" s="4" t="inlineStr">
        <is>
          <t>NO_EVIDENCE</t>
        </is>
      </c>
      <c r="J98" t="n">
        <v>0</v>
      </c>
      <c r="M98" s="2" t="inlineStr">
        <is>
          <t>Name the files this feature lives in (evidence.files).</t>
        </is>
      </c>
      <c r="N98" s="2" t="inlineStr"/>
      <c r="O98" s="2" t="inlineStr"/>
      <c r="P98" s="2" t="inlineStr">
        <is>
          <t>no evidence files declared</t>
        </is>
      </c>
    </row>
    <row r="99">
      <c r="A99" t="inlineStr">
        <is>
          <t>F-0098</t>
        </is>
      </c>
      <c r="B99" s="2" t="inlineStr">
        <is>
          <t>§2.9: Image Generation</t>
        </is>
      </c>
      <c r="C99" s="2" t="inlineStr">
        <is>
          <t>Image Generation</t>
        </is>
      </c>
      <c r="E99" t="inlineStr">
        <is>
          <t>KEEP-PI</t>
        </is>
      </c>
      <c r="H99" t="inlineStr">
        <is>
          <t>unknown</t>
        </is>
      </c>
      <c r="I99" s="4" t="inlineStr">
        <is>
          <t>NO_EVIDENCE</t>
        </is>
      </c>
      <c r="J99" t="n">
        <v>0</v>
      </c>
      <c r="M99" s="2" t="inlineStr">
        <is>
          <t>Name the files this feature lives in (evidence.files).</t>
        </is>
      </c>
      <c r="N99" s="2" t="inlineStr"/>
      <c r="O99" s="2" t="inlineStr"/>
      <c r="P99" s="2" t="inlineStr">
        <is>
          <t>no evidence files declared</t>
        </is>
      </c>
    </row>
    <row r="100">
      <c r="A100" t="inlineStr">
        <is>
          <t>F-0099</t>
        </is>
      </c>
      <c r="B100" s="2" t="inlineStr">
        <is>
          <t>§3.7a: Git Tools</t>
        </is>
      </c>
      <c r="C100" s="2" t="inlineStr">
        <is>
          <t>Git Tools</t>
        </is>
      </c>
      <c r="E100" t="inlineStr">
        <is>
          <t>AUGMENT</t>
        </is>
      </c>
      <c r="H100" t="inlineStr">
        <is>
          <t>unknown</t>
        </is>
      </c>
      <c r="I100" s="4" t="inlineStr">
        <is>
          <t>NO_EVIDENCE</t>
        </is>
      </c>
      <c r="J100" t="n">
        <v>0</v>
      </c>
      <c r="M100" s="2" t="inlineStr">
        <is>
          <t>Name the files this feature lives in (evidence.files).</t>
        </is>
      </c>
      <c r="N100" s="2" t="inlineStr"/>
      <c r="O100" s="2" t="inlineStr"/>
      <c r="P100" s="2" t="inlineStr">
        <is>
          <t>no evidence files declared</t>
        </is>
      </c>
    </row>
    <row r="101">
      <c r="A101" t="inlineStr">
        <is>
          <t>F-0100</t>
        </is>
      </c>
      <c r="B101" s="2" t="inlineStr">
        <is>
          <t>§3.8: Tool Call Validation</t>
        </is>
      </c>
      <c r="C101" s="2" t="inlineStr">
        <is>
          <t>Tool Call Validation</t>
        </is>
      </c>
      <c r="E101" t="inlineStr">
        <is>
          <t>AUGMENT</t>
        </is>
      </c>
      <c r="H101" t="inlineStr">
        <is>
          <t>unknown</t>
        </is>
      </c>
      <c r="I101" s="4" t="inlineStr">
        <is>
          <t>NO_EVIDENCE</t>
        </is>
      </c>
      <c r="J101" t="n">
        <v>0</v>
      </c>
      <c r="M101" s="2" t="inlineStr">
        <is>
          <t>Name the files this feature lives in (evidence.files).</t>
        </is>
      </c>
      <c r="N101" s="2" t="inlineStr"/>
      <c r="O101" s="2" t="inlineStr"/>
      <c r="P101" s="2" t="inlineStr">
        <is>
          <t>no evidence files declared</t>
        </is>
      </c>
    </row>
    <row r="102">
      <c r="A102" t="inlineStr">
        <is>
          <t>F-0101</t>
        </is>
      </c>
      <c r="B102" s="2" t="inlineStr">
        <is>
          <t>§3.9: Tool Result Classification</t>
        </is>
      </c>
      <c r="C102" s="2" t="inlineStr">
        <is>
          <t>Tool Result Classification</t>
        </is>
      </c>
      <c r="E102" t="inlineStr">
        <is>
          <t>LOCUS-NEW</t>
        </is>
      </c>
      <c r="H102" t="inlineStr">
        <is>
          <t>unknown</t>
        </is>
      </c>
      <c r="I102" s="4" t="inlineStr">
        <is>
          <t>NO_EVIDENCE</t>
        </is>
      </c>
      <c r="J102" t="n">
        <v>0</v>
      </c>
      <c r="M102" s="2" t="inlineStr">
        <is>
          <t>Name the files this feature lives in (evidence.files).</t>
        </is>
      </c>
      <c r="N102" s="2" t="inlineStr"/>
      <c r="O102" s="2" t="inlineStr"/>
      <c r="P102" s="2" t="inlineStr">
        <is>
          <t>no evidence files declared</t>
        </is>
      </c>
    </row>
    <row r="103">
      <c r="A103" t="inlineStr">
        <is>
          <t>F-0102</t>
        </is>
      </c>
      <c r="B103" s="2" t="inlineStr">
        <is>
          <t>§3.10: Tool Output Accumulator</t>
        </is>
      </c>
      <c r="C103" s="2" t="inlineStr">
        <is>
          <t>Tool Output Accumulator</t>
        </is>
      </c>
      <c r="E103" t="inlineStr">
        <is>
          <t>KEEP-PI</t>
        </is>
      </c>
      <c r="H103" t="inlineStr">
        <is>
          <t>unknown</t>
        </is>
      </c>
      <c r="I103" s="4" t="inlineStr">
        <is>
          <t>NO_EVIDENCE</t>
        </is>
      </c>
      <c r="J103" t="n">
        <v>0</v>
      </c>
      <c r="M103" s="2" t="inlineStr">
        <is>
          <t>Name the files this feature lives in (evidence.files).</t>
        </is>
      </c>
      <c r="N103" s="2" t="inlineStr"/>
      <c r="O103" s="2" t="inlineStr"/>
      <c r="P103" s="2" t="inlineStr">
        <is>
          <t>no evidence files declared</t>
        </is>
      </c>
    </row>
    <row r="104">
      <c r="A104" t="inlineStr">
        <is>
          <t>F-0103</t>
        </is>
      </c>
      <c r="B104" s="2" t="inlineStr">
        <is>
          <t>§3.11: Tool Timeout / Budget</t>
        </is>
      </c>
      <c r="C104" s="2" t="inlineStr">
        <is>
          <t>Tool Timeout / Budget</t>
        </is>
      </c>
      <c r="E104" t="inlineStr">
        <is>
          <t>LOCUS-NEW</t>
        </is>
      </c>
      <c r="H104" t="inlineStr">
        <is>
          <t>unknown</t>
        </is>
      </c>
      <c r="I104" s="4" t="inlineStr">
        <is>
          <t>NO_EVIDENCE</t>
        </is>
      </c>
      <c r="J104" t="n">
        <v>0</v>
      </c>
      <c r="M104" s="2" t="inlineStr">
        <is>
          <t>Name the files this feature lives in (evidence.files).</t>
        </is>
      </c>
      <c r="N104" s="2" t="inlineStr"/>
      <c r="O104" s="2" t="inlineStr"/>
      <c r="P104" s="2" t="inlineStr">
        <is>
          <t>no evidence files declared</t>
        </is>
      </c>
    </row>
    <row r="105">
      <c r="A105" t="inlineStr">
        <is>
          <t>F-0104</t>
        </is>
      </c>
      <c r="B105" s="2" t="inlineStr">
        <is>
          <t>§3.12: Custom Locus Tools</t>
        </is>
      </c>
      <c r="C105" s="2" t="inlineStr">
        <is>
          <t>Custom Locus Tools</t>
        </is>
      </c>
      <c r="E105" t="inlineStr">
        <is>
          <t>LOCUS-NEW</t>
        </is>
      </c>
      <c r="H105" t="inlineStr">
        <is>
          <t>unknown</t>
        </is>
      </c>
      <c r="I105" s="4" t="inlineStr">
        <is>
          <t>NO_EVIDENCE</t>
        </is>
      </c>
      <c r="J105" t="n">
        <v>0</v>
      </c>
      <c r="M105" s="2" t="inlineStr">
        <is>
          <t>Name the files this feature lives in (evidence.files).</t>
        </is>
      </c>
      <c r="N105" s="2" t="inlineStr"/>
      <c r="O105" s="2" t="inlineStr"/>
      <c r="P105" s="2" t="inlineStr">
        <is>
          <t>no evidence files declared</t>
        </is>
      </c>
    </row>
    <row r="106">
      <c r="A106" t="inlineStr">
        <is>
          <t>F-0105</t>
        </is>
      </c>
      <c r="B106" s="2" t="inlineStr">
        <is>
          <t>§15.1: Web Search (8 Providers)</t>
        </is>
      </c>
      <c r="C106" s="2" t="inlineStr">
        <is>
          <t>Web Search (8 Providers)</t>
        </is>
      </c>
      <c r="E106" t="inlineStr">
        <is>
          <t>KEEP-PI</t>
        </is>
      </c>
      <c r="H106" t="inlineStr">
        <is>
          <t>unknown</t>
        </is>
      </c>
      <c r="I106" s="4" t="inlineStr">
        <is>
          <t>NO_EVIDENCE</t>
        </is>
      </c>
      <c r="J106" t="n">
        <v>0</v>
      </c>
      <c r="M106" s="2" t="inlineStr">
        <is>
          <t>Name the files this feature lives in (evidence.files).</t>
        </is>
      </c>
      <c r="N106" s="2" t="inlineStr"/>
      <c r="O106" s="2" t="inlineStr"/>
      <c r="P106" s="2" t="inlineStr">
        <is>
          <t>no evidence files declared</t>
        </is>
      </c>
    </row>
    <row r="107">
      <c r="A107" t="inlineStr">
        <is>
          <t>F-0106</t>
        </is>
      </c>
      <c r="B107" s="2" t="inlineStr">
        <is>
          <t>§24.1: Pi Utilities (Clipboard, Syntax Highlighting, Frontmatter, File Watcher)</t>
        </is>
      </c>
      <c r="C107" s="2" t="inlineStr">
        <is>
          <t>Pi Utilities (Clipboard, Syntax Highlighting, Frontmatter, File Watcher)</t>
        </is>
      </c>
      <c r="E107" t="inlineStr">
        <is>
          <t>KEEP-PI</t>
        </is>
      </c>
      <c r="H107" t="inlineStr">
        <is>
          <t>unknown</t>
        </is>
      </c>
      <c r="I107" s="4" t="inlineStr">
        <is>
          <t>NO_EVIDENCE</t>
        </is>
      </c>
      <c r="J107" t="n">
        <v>0</v>
      </c>
      <c r="M107" s="2" t="inlineStr">
        <is>
          <t>Name the files this feature lives in (evidence.files).</t>
        </is>
      </c>
      <c r="N107" s="2" t="inlineStr"/>
      <c r="O107" s="2" t="inlineStr"/>
      <c r="P107" s="2" t="inlineStr">
        <is>
          <t>no evidence files declared</t>
        </is>
      </c>
    </row>
    <row r="108">
      <c r="A108" t="inlineStr">
        <is>
          <t>F-0107</t>
        </is>
      </c>
      <c r="B108" s="2" t="inlineStr">
        <is>
          <t>§13.2: File Safety</t>
        </is>
      </c>
      <c r="C108" s="2" t="inlineStr">
        <is>
          <t>File Safety</t>
        </is>
      </c>
      <c r="E108" t="inlineStr">
        <is>
          <t>LOCUS-NEW</t>
        </is>
      </c>
      <c r="H108" t="inlineStr">
        <is>
          <t>unknown</t>
        </is>
      </c>
      <c r="I108" s="4" t="inlineStr">
        <is>
          <t>NO_EVIDENCE</t>
        </is>
      </c>
      <c r="J108" t="n">
        <v>0</v>
      </c>
      <c r="M108" s="2" t="inlineStr">
        <is>
          <t>Name the files this feature lives in (evidence.files).</t>
        </is>
      </c>
      <c r="N108" s="2" t="inlineStr"/>
      <c r="O108" s="2" t="inlineStr"/>
      <c r="P108" s="2" t="inlineStr">
        <is>
          <t>no evidence files declared</t>
        </is>
      </c>
    </row>
    <row r="109">
      <c r="A109" t="inlineStr">
        <is>
          <t>F-0108</t>
        </is>
      </c>
      <c r="B109" s="2" t="inlineStr">
        <is>
          <t>§13.4: Autonomy Tiers</t>
        </is>
      </c>
      <c r="C109" s="2" t="inlineStr">
        <is>
          <t>Autonomy Tiers</t>
        </is>
      </c>
      <c r="E109" t="inlineStr">
        <is>
          <t>LOCUS-NEW</t>
        </is>
      </c>
      <c r="H109" t="inlineStr">
        <is>
          <t>unknown</t>
        </is>
      </c>
      <c r="I109" s="4" t="inlineStr">
        <is>
          <t>NO_EVIDENCE</t>
        </is>
      </c>
      <c r="J109" t="n">
        <v>0</v>
      </c>
      <c r="M109" s="2" t="inlineStr">
        <is>
          <t>Name the files this feature lives in (evidence.files).</t>
        </is>
      </c>
      <c r="N109" s="2" t="inlineStr"/>
      <c r="O109" s="2" t="inlineStr"/>
      <c r="P109" s="2" t="inlineStr">
        <is>
          <t>no evidence files declared</t>
        </is>
      </c>
    </row>
    <row r="110">
      <c r="A110" t="inlineStr">
        <is>
          <t>F-0109</t>
        </is>
      </c>
      <c r="B110" s="2" t="inlineStr">
        <is>
          <t>§13.5: Approval Gate</t>
        </is>
      </c>
      <c r="C110" s="2" t="inlineStr">
        <is>
          <t>Approval Gate</t>
        </is>
      </c>
      <c r="E110" t="inlineStr">
        <is>
          <t>LOCUS-NEW</t>
        </is>
      </c>
      <c r="H110" t="inlineStr">
        <is>
          <t>unknown</t>
        </is>
      </c>
      <c r="I110" s="4" t="inlineStr">
        <is>
          <t>NO_EVIDENCE</t>
        </is>
      </c>
      <c r="J110" t="n">
        <v>0</v>
      </c>
      <c r="M110" s="2" t="inlineStr">
        <is>
          <t>Name the files this feature lives in (evidence.files).</t>
        </is>
      </c>
      <c r="N110" s="2" t="inlineStr"/>
      <c r="O110" s="2" t="inlineStr"/>
      <c r="P110" s="2" t="inlineStr">
        <is>
          <t>no evidence files declared</t>
        </is>
      </c>
    </row>
    <row r="111">
      <c r="A111" t="inlineStr">
        <is>
          <t>F-0110</t>
        </is>
      </c>
      <c r="B111" s="2" t="inlineStr">
        <is>
          <t>§4.16: Context Compression</t>
        </is>
      </c>
      <c r="C111" s="2" t="inlineStr">
        <is>
          <t>Context Compression</t>
        </is>
      </c>
      <c r="E111" t="inlineStr">
        <is>
          <t>UNKNOWN</t>
        </is>
      </c>
      <c r="H111" t="inlineStr">
        <is>
          <t>unknown</t>
        </is>
      </c>
      <c r="I111" s="4" t="inlineStr">
        <is>
          <t>NO_EVIDENCE</t>
        </is>
      </c>
      <c r="J111" t="n">
        <v>0</v>
      </c>
      <c r="M111" s="2" t="inlineStr">
        <is>
          <t>Name the files this feature lives in (evidence.files).</t>
        </is>
      </c>
      <c r="N111" s="2" t="inlineStr"/>
      <c r="O111" s="2" t="inlineStr"/>
      <c r="P111" s="2" t="inlineStr">
        <is>
          <t>no evidence files declared</t>
        </is>
      </c>
    </row>
    <row r="112">
      <c r="A112" t="inlineStr">
        <is>
          <t>F-0111</t>
        </is>
      </c>
      <c r="B112" s="2" t="inlineStr">
        <is>
          <t>§25.9: Emergency Task Injection</t>
        </is>
      </c>
      <c r="C112" s="2" t="inlineStr">
        <is>
          <t>Emergency Task Injection</t>
        </is>
      </c>
      <c r="E112" t="inlineStr">
        <is>
          <t>LOCUS-NEW</t>
        </is>
      </c>
      <c r="H112" t="inlineStr">
        <is>
          <t>unknown</t>
        </is>
      </c>
      <c r="I112" s="4" t="inlineStr">
        <is>
          <t>NO_EVIDENCE</t>
        </is>
      </c>
      <c r="J112" t="n">
        <v>0</v>
      </c>
      <c r="M112" s="2" t="inlineStr">
        <is>
          <t>Name the files this feature lives in (evidence.files).</t>
        </is>
      </c>
      <c r="N112" s="2" t="inlineStr"/>
      <c r="O112" s="2" t="inlineStr"/>
      <c r="P112" s="2" t="inlineStr">
        <is>
          <t>no evidence files declared</t>
        </is>
      </c>
    </row>
    <row r="113">
      <c r="A113" t="inlineStr">
        <is>
          <t>F-0112</t>
        </is>
      </c>
      <c r="B113" s="2" t="inlineStr">
        <is>
          <t>§25.10: Exhaustion Predictor</t>
        </is>
      </c>
      <c r="C113" s="2" t="inlineStr">
        <is>
          <t>Exhaustion Predictor</t>
        </is>
      </c>
      <c r="E113" t="inlineStr">
        <is>
          <t>LOCUS-NEW</t>
        </is>
      </c>
      <c r="H113" t="inlineStr">
        <is>
          <t>unknown</t>
        </is>
      </c>
      <c r="I113" s="4" t="inlineStr">
        <is>
          <t>NO_EVIDENCE</t>
        </is>
      </c>
      <c r="J113" t="n">
        <v>0</v>
      </c>
      <c r="M113" s="2" t="inlineStr">
        <is>
          <t>Name the files this feature lives in (evidence.files).</t>
        </is>
      </c>
      <c r="N113" s="2" t="inlineStr"/>
      <c r="O113" s="2" t="inlineStr"/>
      <c r="P113" s="2" t="inlineStr">
        <is>
          <t>no evidence files declared</t>
        </is>
      </c>
    </row>
    <row r="114">
      <c r="A114" t="inlineStr">
        <is>
          <t>F-0113</t>
        </is>
      </c>
      <c r="B114" s="2" t="inlineStr">
        <is>
          <t>§25.11: Weekly Faction Rebalance</t>
        </is>
      </c>
      <c r="C114" s="2" t="inlineStr">
        <is>
          <t>Weekly Faction Rebalance</t>
        </is>
      </c>
      <c r="E114" t="inlineStr">
        <is>
          <t>LOCUS-NEW</t>
        </is>
      </c>
      <c r="H114" t="inlineStr">
        <is>
          <t>unknown</t>
        </is>
      </c>
      <c r="I114" s="4" t="inlineStr">
        <is>
          <t>NO_EVIDENCE</t>
        </is>
      </c>
      <c r="J114" t="n">
        <v>0</v>
      </c>
      <c r="M114" s="2" t="inlineStr">
        <is>
          <t>Name the files this feature lives in (evidence.files).</t>
        </is>
      </c>
      <c r="N114" s="2" t="inlineStr"/>
      <c r="O114" s="2" t="inlineStr"/>
      <c r="P114" s="2" t="inlineStr">
        <is>
          <t>no evidence files declared</t>
        </is>
      </c>
    </row>
    <row r="115">
      <c r="A115" t="inlineStr">
        <is>
          <t>F-0114</t>
        </is>
      </c>
      <c r="B115" s="2" t="inlineStr">
        <is>
          <t>§25.13: Review Cadence System</t>
        </is>
      </c>
      <c r="C115" s="2" t="inlineStr">
        <is>
          <t>Review Cadence System</t>
        </is>
      </c>
      <c r="E115" t="inlineStr">
        <is>
          <t>LOCUS-NEW</t>
        </is>
      </c>
      <c r="H115" t="inlineStr">
        <is>
          <t>unknown</t>
        </is>
      </c>
      <c r="I115" s="4" t="inlineStr">
        <is>
          <t>NO_EVIDENCE</t>
        </is>
      </c>
      <c r="J115" t="n">
        <v>0</v>
      </c>
      <c r="M115" s="2" t="inlineStr">
        <is>
          <t>Name the files this feature lives in (evidence.files).</t>
        </is>
      </c>
      <c r="N115" s="2" t="inlineStr"/>
      <c r="O115" s="2" t="inlineStr"/>
      <c r="P115" s="2" t="inlineStr">
        <is>
          <t>no evidence files declared</t>
        </is>
      </c>
    </row>
    <row r="116">
      <c r="A116" t="inlineStr">
        <is>
          <t>F-0115</t>
        </is>
      </c>
      <c r="B116" s="2" t="inlineStr">
        <is>
          <t>§25.14: Goal Stack Enforcement</t>
        </is>
      </c>
      <c r="C116" s="2" t="inlineStr">
        <is>
          <t>Goal Stack Enforcement</t>
        </is>
      </c>
      <c r="E116" t="inlineStr">
        <is>
          <t>LOCUS-NEW</t>
        </is>
      </c>
      <c r="H116" t="inlineStr">
        <is>
          <t>unknown</t>
        </is>
      </c>
      <c r="I116" s="4" t="inlineStr">
        <is>
          <t>NO_EVIDENCE</t>
        </is>
      </c>
      <c r="J116" t="n">
        <v>0</v>
      </c>
      <c r="M116" s="2" t="inlineStr">
        <is>
          <t>Name the files this feature lives in (evidence.files).</t>
        </is>
      </c>
      <c r="N116" s="2" t="inlineStr"/>
      <c r="O116" s="2" t="inlineStr"/>
      <c r="P116" s="2" t="inlineStr">
        <is>
          <t>no evidence files declared</t>
        </is>
      </c>
    </row>
    <row r="117">
      <c r="A117" t="inlineStr">
        <is>
          <t>F-0116</t>
        </is>
      </c>
      <c r="B117" s="2" t="inlineStr">
        <is>
          <t>§25.15: Cross-Faction Efficiency</t>
        </is>
      </c>
      <c r="C117" s="2" t="inlineStr">
        <is>
          <t>Cross-Faction Efficiency</t>
        </is>
      </c>
      <c r="E117" t="inlineStr">
        <is>
          <t>LOCUS-NEW</t>
        </is>
      </c>
      <c r="H117" t="inlineStr">
        <is>
          <t>unknown</t>
        </is>
      </c>
      <c r="I117" s="4" t="inlineStr">
        <is>
          <t>NO_EVIDENCE</t>
        </is>
      </c>
      <c r="J117" t="n">
        <v>0</v>
      </c>
      <c r="M117" s="2" t="inlineStr">
        <is>
          <t>Name the files this feature lives in (evidence.files).</t>
        </is>
      </c>
      <c r="N117" s="2" t="inlineStr"/>
      <c r="O117" s="2" t="inlineStr"/>
      <c r="P117" s="2" t="inlineStr">
        <is>
          <t>no evidence files declared</t>
        </is>
      </c>
    </row>
    <row r="118">
      <c r="A118" t="inlineStr">
        <is>
          <t>F-0117</t>
        </is>
      </c>
      <c r="B118" s="2" t="inlineStr">
        <is>
          <t>§25.16: Four-Level Emergency Protocol</t>
        </is>
      </c>
      <c r="C118" s="2" t="inlineStr">
        <is>
          <t>Four-Level Emergency Protocol</t>
        </is>
      </c>
      <c r="E118" t="inlineStr">
        <is>
          <t>LOCUS-NEW</t>
        </is>
      </c>
      <c r="H118" t="inlineStr">
        <is>
          <t>unknown</t>
        </is>
      </c>
      <c r="I118" s="4" t="inlineStr">
        <is>
          <t>NO_EVIDENCE</t>
        </is>
      </c>
      <c r="J118" t="n">
        <v>0</v>
      </c>
      <c r="M118" s="2" t="inlineStr">
        <is>
          <t>Name the files this feature lives in (evidence.files).</t>
        </is>
      </c>
      <c r="N118" s="2" t="inlineStr"/>
      <c r="O118" s="2" t="inlineStr"/>
      <c r="P118" s="2" t="inlineStr">
        <is>
          <t>no evidence files declared</t>
        </is>
      </c>
    </row>
    <row r="119">
      <c r="A119" t="inlineStr">
        <is>
          <t>F-0118</t>
        </is>
      </c>
      <c r="B119" s="2" t="inlineStr">
        <is>
          <t>§4.18: Memory Provider Interface</t>
        </is>
      </c>
      <c r="C119" s="2" t="inlineStr">
        <is>
          <t>Memory Provider Interface</t>
        </is>
      </c>
      <c r="E119" t="inlineStr">
        <is>
          <t>UNKNOWN</t>
        </is>
      </c>
      <c r="H119" t="inlineStr">
        <is>
          <t>unknown</t>
        </is>
      </c>
      <c r="I119" s="4" t="inlineStr">
        <is>
          <t>NO_EVIDENCE</t>
        </is>
      </c>
      <c r="J119" t="n">
        <v>0</v>
      </c>
      <c r="M119" s="2" t="inlineStr">
        <is>
          <t>Name the files this feature lives in (evidence.files).</t>
        </is>
      </c>
      <c r="N119" s="2" t="inlineStr"/>
      <c r="O119" s="2" t="inlineStr"/>
      <c r="P119" s="2" t="inlineStr">
        <is>
          <t>no evidence files declared</t>
        </is>
      </c>
    </row>
    <row r="120">
      <c r="A120" t="inlineStr">
        <is>
          <t>F-0119</t>
        </is>
      </c>
      <c r="B120" s="2" t="inlineStr">
        <is>
          <t>§9.2: Skill System &amp; Multi-Source Marketplace</t>
        </is>
      </c>
      <c r="C120" s="2" t="inlineStr">
        <is>
          <t>Skill System &amp; Multi-Source Marketplace</t>
        </is>
      </c>
      <c r="E120" t="inlineStr">
        <is>
          <t>LOCUS-NEW</t>
        </is>
      </c>
      <c r="H120" t="inlineStr">
        <is>
          <t>unknown</t>
        </is>
      </c>
      <c r="I120" s="4" t="inlineStr">
        <is>
          <t>NO_EVIDENCE</t>
        </is>
      </c>
      <c r="J120" t="n">
        <v>0</v>
      </c>
      <c r="M120" s="2" t="inlineStr">
        <is>
          <t>Name the files this feature lives in (evidence.files).</t>
        </is>
      </c>
      <c r="N120" s="2" t="inlineStr"/>
      <c r="O120" s="2" t="inlineStr"/>
      <c r="P120" s="2" t="inlineStr">
        <is>
          <t>no evidence files declared</t>
        </is>
      </c>
    </row>
    <row r="121">
      <c r="A121" t="inlineStr">
        <is>
          <t>F-0120</t>
        </is>
      </c>
      <c r="B121" s="2" t="inlineStr">
        <is>
          <t>§10.8: Self-Evolving Architect Bot</t>
        </is>
      </c>
      <c r="C121" s="2" t="inlineStr">
        <is>
          <t>Self-Evolving Architect Bot</t>
        </is>
      </c>
      <c r="E121" t="inlineStr">
        <is>
          <t>UNKNOWN</t>
        </is>
      </c>
      <c r="H121" t="inlineStr">
        <is>
          <t>unknown</t>
        </is>
      </c>
      <c r="I121" s="4" t="inlineStr">
        <is>
          <t>NO_EVIDENCE</t>
        </is>
      </c>
      <c r="J121" t="n">
        <v>0</v>
      </c>
      <c r="M121" s="2" t="inlineStr">
        <is>
          <t>Name the files this feature lives in (evidence.files).</t>
        </is>
      </c>
      <c r="N121" s="2" t="inlineStr"/>
      <c r="O121" s="2" t="inlineStr"/>
      <c r="P121" s="2" t="inlineStr">
        <is>
          <t>no evidence files declared</t>
        </is>
      </c>
    </row>
    <row r="122">
      <c r="A122" t="inlineStr">
        <is>
          <t>F-0121</t>
        </is>
      </c>
      <c r="B122" s="2" t="inlineStr">
        <is>
          <t>§10.9: Agent Experience Tracking (Procedural Memory)</t>
        </is>
      </c>
      <c r="C122" s="2" t="inlineStr">
        <is>
          <t>Agent Experience Tracking (Procedural Memory)</t>
        </is>
      </c>
      <c r="E122" t="inlineStr">
        <is>
          <t>MULTI-PROVIDER</t>
        </is>
      </c>
      <c r="H122" t="inlineStr">
        <is>
          <t>unknown</t>
        </is>
      </c>
      <c r="I122" s="4" t="inlineStr">
        <is>
          <t>NO_EVIDENCE</t>
        </is>
      </c>
      <c r="J122" t="n">
        <v>0</v>
      </c>
      <c r="M122" s="2" t="inlineStr">
        <is>
          <t>Name the files this feature lives in (evidence.files).</t>
        </is>
      </c>
      <c r="N122" s="2" t="inlineStr"/>
      <c r="O122" s="2" t="inlineStr"/>
      <c r="P122" s="2" t="inlineStr">
        <is>
          <t>no evidence files declared</t>
        </is>
      </c>
    </row>
    <row r="123">
      <c r="A123" t="inlineStr">
        <is>
          <t>F-0122</t>
        </is>
      </c>
      <c r="B123" s="2" t="inlineStr">
        <is>
          <t>§27.3: LOCUS_SHORTHAND 4× Text Compressor</t>
        </is>
      </c>
      <c r="C123" s="2" t="inlineStr">
        <is>
          <t>LOCUS_SHORTHAND 4× Text Compressor</t>
        </is>
      </c>
      <c r="E123" t="inlineStr">
        <is>
          <t>LOCUS-NEW</t>
        </is>
      </c>
      <c r="H123" t="inlineStr">
        <is>
          <t>unknown</t>
        </is>
      </c>
      <c r="I123" s="4" t="inlineStr">
        <is>
          <t>NO_EVIDENCE</t>
        </is>
      </c>
      <c r="J123" t="n">
        <v>0</v>
      </c>
      <c r="M123" s="2" t="inlineStr">
        <is>
          <t>Name the files this feature lives in (evidence.files).</t>
        </is>
      </c>
      <c r="N123" s="2" t="inlineStr"/>
      <c r="O123" s="2" t="inlineStr"/>
      <c r="P123" s="2" t="inlineStr">
        <is>
          <t>no evidence files declared</t>
        </is>
      </c>
    </row>
    <row r="124">
      <c r="A124" t="inlineStr">
        <is>
          <t>F-0123</t>
        </is>
      </c>
      <c r="B124" s="2" t="inlineStr">
        <is>
          <t>§27.4: 3-Level Tag Hierarchy &amp; Semantic Indexing</t>
        </is>
      </c>
      <c r="C124" s="2" t="inlineStr">
        <is>
          <t>3-Level Tag Hierarchy &amp; Semantic Indexing</t>
        </is>
      </c>
      <c r="E124" t="inlineStr">
        <is>
          <t>LOCUS-NEW</t>
        </is>
      </c>
      <c r="H124" t="inlineStr">
        <is>
          <t>unknown</t>
        </is>
      </c>
      <c r="I124" s="4" t="inlineStr">
        <is>
          <t>NO_EVIDENCE</t>
        </is>
      </c>
      <c r="J124" t="n">
        <v>0</v>
      </c>
      <c r="M124" s="2" t="inlineStr">
        <is>
          <t>Name the files this feature lives in (evidence.files).</t>
        </is>
      </c>
      <c r="N124" s="2" t="inlineStr"/>
      <c r="O124" s="2" t="inlineStr"/>
      <c r="P124" s="2" t="inlineStr">
        <is>
          <t>no evidence files declared</t>
        </is>
      </c>
    </row>
    <row r="125">
      <c r="A125" t="inlineStr">
        <is>
          <t>F-0124</t>
        </is>
      </c>
      <c r="B125" s="2" t="inlineStr">
        <is>
          <t>§29.2: Auxiliary LLM Client</t>
        </is>
      </c>
      <c r="C125" s="2" t="inlineStr">
        <is>
          <t>Auxiliary LLM Client</t>
        </is>
      </c>
      <c r="E125" t="inlineStr">
        <is>
          <t>LOCUS-NEW</t>
        </is>
      </c>
      <c r="H125" t="inlineStr">
        <is>
          <t>unknown</t>
        </is>
      </c>
      <c r="I125" s="4" t="inlineStr">
        <is>
          <t>NO_EVIDENCE</t>
        </is>
      </c>
      <c r="J125" t="n">
        <v>0</v>
      </c>
      <c r="M125" s="2" t="inlineStr">
        <is>
          <t>Name the files this feature lives in (evidence.files).</t>
        </is>
      </c>
      <c r="N125" s="2" t="inlineStr"/>
      <c r="O125" s="2" t="inlineStr"/>
      <c r="P125" s="2" t="inlineStr">
        <is>
          <t>no evidence files declared</t>
        </is>
      </c>
    </row>
    <row r="126">
      <c r="A126" t="inlineStr">
        <is>
          <t>F-0125</t>
        </is>
      </c>
      <c r="B126" s="2" t="inlineStr">
        <is>
          <t>(not a spec section)</t>
        </is>
      </c>
      <c r="C126" s="2" t="inlineStr">
        <is>
          <t>Modularity foundation: provider registry + config accessor (sidecar and TypeScript)</t>
        </is>
      </c>
      <c r="D126" t="inlineStr">
        <is>
          <t>Infrastructure</t>
        </is>
      </c>
      <c r="E126" t="inlineStr">
        <is>
          <t>LOCUS-NEW</t>
        </is>
      </c>
      <c r="F126" t="inlineStr">
        <is>
          <t>Locus-original</t>
        </is>
      </c>
      <c r="H126" t="inlineStr">
        <is>
          <t>mixed</t>
        </is>
      </c>
      <c r="I126" s="4" t="inlineStr">
        <is>
          <t>NO_EVIDENCE</t>
        </is>
      </c>
      <c r="J126" t="n">
        <v>0</v>
      </c>
      <c r="M126" s="2" t="inlineStr">
        <is>
          <t>Files claimed but absent: sidecar/registry.py, sidecar/config.py, locus-extension/src/registry.ts, locus-extension/src/config.ts. Create them or correct the path.</t>
        </is>
      </c>
      <c r="N126" s="2" t="inlineStr">
        <is>
          <t>CLAIMED_FILES_MISSING</t>
        </is>
      </c>
      <c r="O126" s="2" t="inlineStr">
        <is>
          <t>sidecar/registry.py, sidecar/config.py, locus-extension/src/registry.ts, locus-extension/src/config.ts</t>
        </is>
      </c>
      <c r="P126" s="2" t="inlineStr">
        <is>
          <t>declared files missing: sidecar/registry.py, sidecar/config.py, locus-extension/src/registry.ts, locus-extension/src/config.ts</t>
        </is>
      </c>
    </row>
  </sheetData>
  <autoFilter ref="A1:P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34" customWidth="1" min="2" max="2"/>
  </cols>
  <sheetData>
    <row r="1">
      <c r="A1" s="5" t="inlineStr">
        <is>
          <t>GENERATED FROM EVIDENCE. Do not edit.</t>
        </is>
      </c>
    </row>
    <row r="2">
      <c r="A2" t="inlineStr">
        <is>
          <t>Generated at</t>
        </is>
      </c>
      <c r="B2" t="inlineStr">
        <is>
          <t>2026-10-14T17:01:43+0530</t>
        </is>
      </c>
    </row>
    <row r="3">
      <c r="A3" t="inlineStr">
        <is>
          <t>Commit</t>
        </is>
      </c>
      <c r="B3" t="inlineStr">
        <is>
          <t>4c0b14e7a05245b322cdc0c60b086200a73799af (dirty)</t>
        </is>
      </c>
    </row>
    <row r="4">
      <c r="A4" t="inlineStr">
        <is>
          <t>Guard verdict</t>
        </is>
      </c>
      <c r="B4" t="inlineStr">
        <is>
          <t>FAIL</t>
        </is>
      </c>
    </row>
    <row r="6">
      <c r="A6" t="inlineStr">
        <is>
          <t>Features tracked</t>
        </is>
      </c>
      <c r="B6">
        <f>COUNTA('Feature Tracker'!$A$2:$A$126)</f>
        <v/>
      </c>
    </row>
    <row r="7">
      <c r="A7" t="inlineStr">
        <is>
          <t>Verified average %</t>
        </is>
      </c>
      <c r="B7">
        <f>IFERROR(ROUND(AVERAGE('Feature Tracker'!$J$2:$J$126),1),"n/a")</f>
        <v/>
      </c>
    </row>
    <row r="8">
      <c r="A8" t="inlineStr">
        <is>
          <t>OLD claimed average % (unverified, from the previous tracker)</t>
        </is>
      </c>
      <c r="B8">
        <f>IFERROR(ROUND(AVERAGE('Feature Tracker'!$K$2:$K$126),1),"n/a")</f>
        <v/>
      </c>
    </row>
    <row r="9">
      <c r="A9" t="inlineStr">
        <is>
          <t>Features the old tracker claimed &gt;= 25 points above evidence</t>
        </is>
      </c>
      <c r="B9">
        <f>COUNTIF('Feature Tracker'!$L$2:$L$126,"&gt;=25")</f>
        <v/>
      </c>
    </row>
    <row r="10">
      <c r="A10" t="inlineStr">
        <is>
          <t>Integrated or better (&gt;= 85%)</t>
        </is>
      </c>
      <c r="B10">
        <f>COUNTIF('Feature Tracker'!$J$2:$J$126,"&gt;=85")</f>
        <v/>
      </c>
    </row>
    <row r="12">
      <c r="A12" t="inlineStr">
        <is>
          <t>Level NO_EVIDENCE</t>
        </is>
      </c>
      <c r="B12">
        <f>COUNTIF('Feature Tracker'!$I$2:$I$126,"NO_EVIDENCE")</f>
        <v/>
      </c>
    </row>
    <row r="13">
      <c r="A13" t="inlineStr">
        <is>
          <t>Level FILES_PRESENT</t>
        </is>
      </c>
      <c r="B13">
        <f>COUNTIF('Feature Tracker'!$I$2:$I$126,"FILES_PRESENT")</f>
        <v/>
      </c>
    </row>
    <row r="14">
      <c r="A14" t="inlineStr">
        <is>
          <t>Level IMPLEMENTED</t>
        </is>
      </c>
      <c r="B14">
        <f>COUNTIF('Feature Tracker'!$I$2:$I$126,"IMPLEMENTED")</f>
        <v/>
      </c>
    </row>
    <row r="15">
      <c r="A15" t="inlineStr">
        <is>
          <t>Level UNIT_VERIFIED</t>
        </is>
      </c>
      <c r="B15">
        <f>COUNTIF('Feature Tracker'!$I$2:$I$126,"UNIT_VERIFIED")</f>
        <v/>
      </c>
    </row>
    <row r="16">
      <c r="A16" t="inlineStr">
        <is>
          <t>Level INTEGRATED</t>
        </is>
      </c>
      <c r="B16">
        <f>COUNTIF('Feature Tracker'!$I$2:$I$126,"INTEGRATED")</f>
        <v/>
      </c>
    </row>
    <row r="17">
      <c r="A17" t="inlineStr">
        <is>
          <t>Level PROVEN</t>
        </is>
      </c>
      <c r="B17">
        <f>COUNTIF('Feature Tracker'!$I$2:$I$126,"PROVEN")</f>
        <v/>
      </c>
    </row>
    <row r="18">
      <c r="A18" t="inlineStr">
        <is>
          <t>Level INHERITED_OK</t>
        </is>
      </c>
      <c r="B18">
        <f>COUNTIF('Feature Tracker'!$I$2:$I$126,"INHERITED_OK")</f>
        <v/>
      </c>
    </row>
    <row r="20">
      <c r="A20" t="inlineStr">
        <is>
          <t>Spec sections in the spec file</t>
        </is>
      </c>
      <c r="B20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Level</t>
        </is>
      </c>
      <c r="B1" t="inlineStr">
        <is>
          <t>Meaning (a level needs every level below it)</t>
        </is>
      </c>
      <c r="C1" t="inlineStr">
        <is>
          <t>%</t>
        </is>
      </c>
    </row>
    <row r="2">
      <c r="A2" t="inlineStr">
        <is>
          <t>NO_EVIDENCE</t>
        </is>
      </c>
      <c r="B2" t="inlineStr">
        <is>
          <t>Nothing declared, or declared files are missing</t>
        </is>
      </c>
      <c r="C2" t="n">
        <v>0</v>
      </c>
    </row>
    <row r="3">
      <c r="A3" t="inlineStr">
        <is>
          <t>FILES_PRESENT</t>
        </is>
      </c>
      <c r="B3" t="inlineStr">
        <is>
          <t>Every declared file exists and is non-empty</t>
        </is>
      </c>
      <c r="C3" t="n">
        <v>15</v>
      </c>
    </row>
    <row r="4">
      <c r="A4" t="inlineStr">
        <is>
          <t>IMPLEMENTED</t>
        </is>
      </c>
      <c r="B4" t="inlineStr">
        <is>
          <t>Declared functions/classes exist and are not stubs</t>
        </is>
      </c>
      <c r="C4" t="n">
        <v>40</v>
      </c>
    </row>
    <row r="5">
      <c r="A5" t="inlineStr">
        <is>
          <t>UNIT_VERIFIED</t>
        </is>
      </c>
      <c r="B5" t="inlineStr">
        <is>
          <t>Declared unit commands / guard checks pass; tests have real assertions</t>
        </is>
      </c>
      <c r="C5" t="n">
        <v>65</v>
      </c>
    </row>
    <row r="6">
      <c r="A6" t="inlineStr">
        <is>
          <t>INTEGRATED</t>
        </is>
      </c>
      <c r="B6" t="inlineStr">
        <is>
          <t>Integration test through the Pi path passes</t>
        </is>
      </c>
      <c r="C6" t="n">
        <v>85</v>
      </c>
    </row>
    <row r="7">
      <c r="A7" t="inlineStr">
        <is>
          <t>PROVEN</t>
        </is>
      </c>
      <c r="B7" t="inlineStr">
        <is>
          <t>Recorded end-to-end proof is current AND a human signed off</t>
        </is>
      </c>
      <c r="C7" t="n">
        <v>100</v>
      </c>
    </row>
    <row r="8">
      <c r="A8" t="inlineStr">
        <is>
          <t>INHERITED_OK</t>
        </is>
      </c>
      <c r="B8" t="inlineStr">
        <is>
          <t>KEEP-PI feature: file present and packages/ matches the pinned upstream</t>
        </is>
      </c>
      <c r="C8" t="n">
        <v>100</v>
      </c>
    </row>
    <row r="10">
      <c r="A10" t="inlineStr">
        <is>
          <t>Rule</t>
        </is>
      </c>
      <c r="B10" t="inlineStr">
        <is>
          <t>Nobody types a status. tracker/features.yaml holds evidence; tools/tracker/verify.py computes; this file is regenerated.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70" customWidth="1" min="2" max="2"/>
    <col width="30" customWidth="1" min="3" max="3"/>
  </cols>
  <sheetData>
    <row r="1">
      <c r="A1" t="inlineStr">
        <is>
          <t>Spec line</t>
        </is>
      </c>
      <c r="B1" t="inlineStr">
        <is>
          <t>Spec section</t>
        </is>
      </c>
      <c r="C1" t="inlineStr">
        <is>
          <t>Feature ids</t>
        </is>
      </c>
      <c r="D1" t="inlineStr">
        <is>
          <t>Mapping</t>
        </is>
      </c>
    </row>
    <row r="2">
      <c r="A2" t="n">
        <v>211</v>
      </c>
      <c r="B2" t="inlineStr">
        <is>
          <t>§1.1: Pi Agent Loop (Foundation)</t>
        </is>
      </c>
      <c r="C2" t="inlineStr">
        <is>
          <t>F-0001</t>
        </is>
      </c>
      <c r="D2" t="inlineStr">
        <is>
          <t>exact</t>
        </is>
      </c>
    </row>
    <row r="3">
      <c r="A3" t="n">
        <v>355</v>
      </c>
      <c r="B3" t="inlineStr">
        <is>
          <t>§1.2: System Prompt Construction</t>
        </is>
      </c>
      <c r="C3" t="inlineStr">
        <is>
          <t>F-0002</t>
        </is>
      </c>
      <c r="D3" t="inlineStr">
        <is>
          <t>exact</t>
        </is>
      </c>
    </row>
    <row r="4">
      <c r="A4" t="n">
        <v>419</v>
      </c>
      <c r="B4" t="inlineStr">
        <is>
          <t>§1.3: Tool System</t>
        </is>
      </c>
      <c r="C4" t="inlineStr">
        <is>
          <t>F-0003</t>
        </is>
      </c>
      <c r="D4" t="inlineStr">
        <is>
          <t>exact</t>
        </is>
      </c>
    </row>
    <row r="5">
      <c r="A5" t="n">
        <v>471</v>
      </c>
      <c r="B5" t="inlineStr">
        <is>
          <t>§1.4: Model Management</t>
        </is>
      </c>
      <c r="C5" t="inlineStr">
        <is>
          <t>F-0004</t>
        </is>
      </c>
      <c r="D5" t="inlineStr">
        <is>
          <t>exact</t>
        </is>
      </c>
    </row>
    <row r="6">
      <c r="A6" t="n">
        <v>506</v>
      </c>
      <c r="B6" t="inlineStr">
        <is>
          <t>§1.5: Extension Lifecycle (25+ Events)</t>
        </is>
      </c>
      <c r="C6" t="inlineStr">
        <is>
          <t>F-0005</t>
        </is>
      </c>
      <c r="D6" t="inlineStr">
        <is>
          <t>exact</t>
        </is>
      </c>
    </row>
    <row r="7">
      <c r="A7" t="n">
        <v>551</v>
      </c>
      <c r="B7" t="inlineStr">
        <is>
          <t>§1.6: Context Window Management</t>
        </is>
      </c>
      <c r="C7" t="inlineStr">
        <is>
          <t>F-0006</t>
        </is>
      </c>
      <c r="D7" t="inlineStr">
        <is>
          <t>exact</t>
        </is>
      </c>
    </row>
    <row r="8">
      <c r="A8" t="n">
        <v>586</v>
      </c>
      <c r="B8" t="inlineStr">
        <is>
          <t>§4.1-4.2: Graph-Native Memory (Neo4j Agent Memory)</t>
        </is>
      </c>
      <c r="C8" t="inlineStr">
        <is>
          <t>F-0021</t>
        </is>
      </c>
      <c r="D8" t="inlineStr">
        <is>
          <t>grouped</t>
        </is>
      </c>
    </row>
    <row r="9">
      <c r="A9" t="n">
        <v>653</v>
      </c>
      <c r="B9" t="inlineStr">
        <is>
          <t>§4.17: Token Compression (Headroom CCR)</t>
        </is>
      </c>
      <c r="C9" t="inlineStr">
        <is>
          <t>F-0026</t>
        </is>
      </c>
      <c r="D9" t="inlineStr">
        <is>
          <t>exact</t>
        </is>
      </c>
    </row>
    <row r="10">
      <c r="A10" t="n">
        <v>716</v>
      </c>
      <c r="B10" t="inlineStr">
        <is>
          <t>§4.5: Memory Tree (Hierarchical Summarization Cascade)</t>
        </is>
      </c>
      <c r="C10" t="inlineStr">
        <is>
          <t>F-0088</t>
        </is>
      </c>
      <c r="D10" t="inlineStr">
        <is>
          <t>exact</t>
        </is>
      </c>
    </row>
    <row r="11">
      <c r="A11" t="n">
        <v>824</v>
      </c>
      <c r="B11" t="inlineStr">
        <is>
          <t>§4.7: Memory Sync (Multi-Source Ingestion Pipelines)</t>
        </is>
      </c>
      <c r="C11" t="inlineStr">
        <is>
          <t>F-0089</t>
        </is>
      </c>
      <c r="D11" t="inlineStr">
        <is>
          <t>exact</t>
        </is>
      </c>
    </row>
    <row r="12">
      <c r="A12" t="n">
        <v>925</v>
      </c>
      <c r="B12" t="inlineStr">
        <is>
          <t>§4.8: Memory Queue (Async Job Pipeline)</t>
        </is>
      </c>
      <c r="C12" t="inlineStr">
        <is>
          <t>F-0090</t>
        </is>
      </c>
      <c r="D12" t="inlineStr">
        <is>
          <t>exact</t>
        </is>
      </c>
    </row>
    <row r="13">
      <c r="A13" t="n">
        <v>1031</v>
      </c>
      <c r="B13" t="inlineStr">
        <is>
          <t>§4.9: Memory Diff (Snapshot-Based Change Tracking)</t>
        </is>
      </c>
      <c r="C13" t="inlineStr">
        <is>
          <t>F-0091</t>
        </is>
      </c>
      <c r="D13" t="inlineStr">
        <is>
          <t>exact</t>
        </is>
      </c>
    </row>
    <row r="14">
      <c r="A14" t="n">
        <v>1166</v>
      </c>
      <c r="B14" t="inlineStr">
        <is>
          <t>§4.10: Holographic Reduced Representations (HRR Memory Binding)</t>
        </is>
      </c>
      <c r="C14" t="inlineStr">
        <is>
          <t>F-0022</t>
        </is>
      </c>
      <c r="D14" t="inlineStr">
        <is>
          <t>exact</t>
        </is>
      </c>
    </row>
    <row r="15">
      <c r="A15" t="n">
        <v>1247</v>
      </c>
      <c r="B15" t="inlineStr">
        <is>
          <t>§4.12: STDP Reinforcement (Spike-Timing-Dependent Plasticity)</t>
        </is>
      </c>
      <c r="C15" t="inlineStr">
        <is>
          <t>F-0023</t>
        </is>
      </c>
      <c r="D15" t="inlineStr">
        <is>
          <t>exact</t>
        </is>
      </c>
    </row>
    <row r="16">
      <c r="A16" t="n">
        <v>1327</v>
      </c>
      <c r="B16" t="inlineStr">
        <is>
          <t>§4.13: Spaced Repetition Memory Consolidation (FSRS / SM-2)</t>
        </is>
      </c>
      <c r="C16" t="inlineStr">
        <is>
          <t>F-0024</t>
        </is>
      </c>
      <c r="D16" t="inlineStr">
        <is>
          <t>exact</t>
        </is>
      </c>
    </row>
    <row r="17">
      <c r="A17" t="n">
        <v>1412</v>
      </c>
      <c r="B17" t="inlineStr">
        <is>
          <t>§4.14: Project-Specific Memory Decay Engine</t>
        </is>
      </c>
      <c r="C17" t="inlineStr">
        <is>
          <t>F-0025</t>
        </is>
      </c>
      <c r="D17" t="inlineStr">
        <is>
          <t>exact</t>
        </is>
      </c>
    </row>
    <row r="18">
      <c r="A18" t="n">
        <v>1477</v>
      </c>
      <c r="B18" t="inlineStr">
        <is>
          <t>§27.1: Vectorless Retrieval (PageIndex)</t>
        </is>
      </c>
      <c r="C18" t="inlineStr">
        <is>
          <t>F-0059</t>
        </is>
      </c>
      <c r="D18" t="inlineStr">
        <is>
          <t>exact</t>
        </is>
      </c>
    </row>
    <row r="19">
      <c r="A19" t="n">
        <v>1598</v>
      </c>
      <c r="B19" t="inlineStr">
        <is>
          <t>§2.1-2.3: Query Router / Intent Classifier (Stage 2)</t>
        </is>
      </c>
      <c r="C19" t="inlineStr">
        <is>
          <t>F-0092</t>
        </is>
      </c>
      <c r="D19" t="inlineStr">
        <is>
          <t>exact</t>
        </is>
      </c>
    </row>
    <row r="20">
      <c r="A20" t="n">
        <v>1704</v>
      </c>
      <c r="B20" t="inlineStr">
        <is>
          <t>§2.4: State Engine (Stage 3)</t>
        </is>
      </c>
      <c r="C20" t="inlineStr">
        <is>
          <t>F-0093</t>
        </is>
      </c>
      <c r="D20" t="inlineStr">
        <is>
          <t>exact</t>
        </is>
      </c>
    </row>
    <row r="21">
      <c r="A21" t="n">
        <v>1752</v>
      </c>
      <c r="B21" t="inlineStr">
        <is>
          <t>§2.5: Context Forge (Stage 6) — The 6-Layer Assembler</t>
        </is>
      </c>
      <c r="C21" t="inlineStr">
        <is>
          <t>F-0094</t>
        </is>
      </c>
      <c r="D21" t="inlineStr">
        <is>
          <t>exact</t>
        </is>
      </c>
    </row>
    <row r="22">
      <c r="A22" t="n">
        <v>1812</v>
      </c>
      <c r="B22" t="inlineStr">
        <is>
          <t>§2.6: Anti-Hallucination Guard (Stage 10)</t>
        </is>
      </c>
      <c r="C22" t="inlineStr">
        <is>
          <t>F-0095</t>
        </is>
      </c>
      <c r="D22" t="inlineStr">
        <is>
          <t>exact</t>
        </is>
      </c>
    </row>
    <row r="23">
      <c r="A23" t="n">
        <v>1859</v>
      </c>
      <c r="B23" t="inlineStr">
        <is>
          <t>§2.7-2.8: Intelligent Model Routing + Quality-Based Fallback</t>
        </is>
      </c>
      <c r="C23" t="inlineStr">
        <is>
          <t>F-0096</t>
        </is>
      </c>
      <c r="D23" t="inlineStr">
        <is>
          <t>exact</t>
        </is>
      </c>
    </row>
    <row r="24">
      <c r="A24" t="n">
        <v>2022</v>
      </c>
      <c r="B24" t="inlineStr">
        <is>
          <t>§6.2: Dynamic Context References (@file, @symbol, @git, @diff)</t>
        </is>
      </c>
      <c r="C24" t="inlineStr">
        <is>
          <t>F-0028</t>
        </is>
      </c>
      <c r="D24" t="inlineStr">
        <is>
          <t>exact</t>
        </is>
      </c>
    </row>
    <row r="25">
      <c r="A25" t="n">
        <v>2118</v>
      </c>
      <c r="B25" t="inlineStr">
        <is>
          <t>§6.3: Coding Context Engine (Repo Map, AST Index, Active Diff)</t>
        </is>
      </c>
      <c r="C25" t="inlineStr">
        <is>
          <t>F-0029</t>
        </is>
      </c>
      <c r="D25" t="inlineStr">
        <is>
          <t>exact</t>
        </is>
      </c>
    </row>
    <row r="26">
      <c r="A26" t="n">
        <v>2196</v>
      </c>
      <c r="B26" t="inlineStr">
        <is>
          <t>§1.8: Stream Diagnostics</t>
        </is>
      </c>
      <c r="C26" t="inlineStr">
        <is>
          <t>F-0008</t>
        </is>
      </c>
      <c r="D26" t="inlineStr">
        <is>
          <t>exact</t>
        </is>
      </c>
    </row>
    <row r="27">
      <c r="A27" t="n">
        <v>2200</v>
      </c>
      <c r="B27" t="inlineStr">
        <is>
          <t>§1.9: Rate Limit Tracking</t>
        </is>
      </c>
      <c r="C27" t="inlineStr">
        <is>
          <t>F-0009</t>
        </is>
      </c>
      <c r="D27" t="inlineStr">
        <is>
          <t>exact</t>
        </is>
      </c>
    </row>
    <row r="28">
      <c r="A28" t="n">
        <v>2277</v>
      </c>
      <c r="B28" t="inlineStr">
        <is>
          <t>§1.10: Usage / Cost Tracking</t>
        </is>
      </c>
      <c r="C28" t="inlineStr">
        <is>
          <t>F-0010</t>
        </is>
      </c>
      <c r="D28" t="inlineStr">
        <is>
          <t>exact</t>
        </is>
      </c>
    </row>
    <row r="29">
      <c r="A29" t="n">
        <v>2368</v>
      </c>
      <c r="B29" t="inlineStr">
        <is>
          <t>§1.11: Title Generation</t>
        </is>
      </c>
      <c r="C29" t="inlineStr">
        <is>
          <t>F-0011</t>
        </is>
      </c>
      <c r="D29" t="inlineStr">
        <is>
          <t>exact</t>
        </is>
      </c>
    </row>
    <row r="30">
      <c r="A30" t="n">
        <v>2435</v>
      </c>
      <c r="B30" t="inlineStr">
        <is>
          <t>§1.12: Onboarding Flow</t>
        </is>
      </c>
      <c r="C30" t="inlineStr">
        <is>
          <t>F-0012</t>
        </is>
      </c>
      <c r="D30" t="inlineStr">
        <is>
          <t>exact</t>
        </is>
      </c>
    </row>
    <row r="31">
      <c r="A31" t="n">
        <v>2439</v>
      </c>
      <c r="B31" t="inlineStr">
        <is>
          <t>§1.13: Agent Initialization</t>
        </is>
      </c>
      <c r="C31" t="inlineStr">
        <is>
          <t>F-0013</t>
        </is>
      </c>
      <c r="D31" t="inlineStr">
        <is>
          <t>exact</t>
        </is>
      </c>
    </row>
    <row r="32">
      <c r="A32" t="n">
        <v>2445</v>
      </c>
      <c r="B32" t="inlineStr">
        <is>
          <t>§2.1: 30+ LLM Providers</t>
        </is>
      </c>
      <c r="C32" t="inlineStr">
        <is>
          <t>F-0014</t>
        </is>
      </c>
      <c r="D32" t="inlineStr">
        <is>
          <t>exact</t>
        </is>
      </c>
    </row>
    <row r="33">
      <c r="A33" t="n">
        <v>2450</v>
      </c>
      <c r="B33" t="inlineStr">
        <is>
          <t>§2.2: OAuth Flows</t>
        </is>
      </c>
      <c r="C33" t="inlineStr">
        <is>
          <t>F-0015</t>
        </is>
      </c>
      <c r="D33" t="inlineStr">
        <is>
          <t>exact</t>
        </is>
      </c>
    </row>
    <row r="34">
      <c r="A34" t="n">
        <v>2455</v>
      </c>
      <c r="B34" t="inlineStr">
        <is>
          <t>§2.3: Custom / Local Models</t>
        </is>
      </c>
      <c r="C34" t="inlineStr">
        <is>
          <t>F-0016</t>
        </is>
      </c>
      <c r="D34" t="inlineStr">
        <is>
          <t>exact</t>
        </is>
      </c>
    </row>
    <row r="35">
      <c r="A35" t="n">
        <v>2460</v>
      </c>
      <c r="B35" t="inlineStr">
        <is>
          <t>§2.4: Provider Registry</t>
        </is>
      </c>
      <c r="C35" t="inlineStr">
        <is>
          <t>F-0017</t>
        </is>
      </c>
      <c r="D35" t="inlineStr">
        <is>
          <t>exact</t>
        </is>
      </c>
    </row>
    <row r="36">
      <c r="A36" t="n">
        <v>2465</v>
      </c>
      <c r="B36" t="inlineStr">
        <is>
          <t>§2.5: Model Selection</t>
        </is>
      </c>
      <c r="C36" t="inlineStr">
        <is>
          <t>F-0018</t>
        </is>
      </c>
      <c r="D36" t="inlineStr">
        <is>
          <t>exact</t>
        </is>
      </c>
    </row>
    <row r="37">
      <c r="A37" t="n">
        <v>2470</v>
      </c>
      <c r="B37" t="inlineStr">
        <is>
          <t>§2.6a: Streaming (SSE)</t>
        </is>
      </c>
      <c r="C37" t="inlineStr">
        <is>
          <t>F-0097</t>
        </is>
      </c>
      <c r="D37" t="inlineStr">
        <is>
          <t>exact</t>
        </is>
      </c>
    </row>
    <row r="38">
      <c r="A38" t="n">
        <v>2475</v>
      </c>
      <c r="B38" t="inlineStr">
        <is>
          <t>§2.9: Image Generation</t>
        </is>
      </c>
      <c r="C38" t="inlineStr">
        <is>
          <t>F-0098</t>
        </is>
      </c>
      <c r="D38" t="inlineStr">
        <is>
          <t>exact</t>
        </is>
      </c>
    </row>
    <row r="39">
      <c r="A39" t="n">
        <v>2482</v>
      </c>
      <c r="B39" t="inlineStr">
        <is>
          <t>§3.1: File Read/Write/Edit</t>
        </is>
      </c>
      <c r="C39" t="inlineStr">
        <is>
          <t>F-0019</t>
        </is>
      </c>
      <c r="D39" t="inlineStr">
        <is>
          <t>grouped</t>
        </is>
      </c>
    </row>
    <row r="40">
      <c r="A40" t="n">
        <v>2486</v>
      </c>
      <c r="B40" t="inlineStr">
        <is>
          <t>§3.2: Shell / Bash</t>
        </is>
      </c>
      <c r="C40" t="inlineStr">
        <is>
          <t>F-0019</t>
        </is>
      </c>
      <c r="D40" t="inlineStr">
        <is>
          <t>grouped</t>
        </is>
      </c>
    </row>
    <row r="41">
      <c r="A41" t="n">
        <v>2490</v>
      </c>
      <c r="B41" t="inlineStr">
        <is>
          <t>§3.3: Grep / Search</t>
        </is>
      </c>
      <c r="C41" t="inlineStr">
        <is>
          <t>F-0019</t>
        </is>
      </c>
      <c r="D41" t="inlineStr">
        <is>
          <t>grouped</t>
        </is>
      </c>
    </row>
    <row r="42">
      <c r="A42" t="n">
        <v>2495</v>
      </c>
      <c r="B42" t="inlineStr">
        <is>
          <t>§3.4: List / Find</t>
        </is>
      </c>
      <c r="C42" t="inlineStr">
        <is>
          <t>F-0019</t>
        </is>
      </c>
      <c r="D42" t="inlineStr">
        <is>
          <t>grouped</t>
        </is>
      </c>
    </row>
    <row r="43">
      <c r="A43" t="n">
        <v>2499</v>
      </c>
      <c r="B43" t="inlineStr">
        <is>
          <t>§3.5: Web Search</t>
        </is>
      </c>
      <c r="C43" t="inlineStr">
        <is>
          <t>F-0019</t>
        </is>
      </c>
      <c r="D43" t="inlineStr">
        <is>
          <t>grouped</t>
        </is>
      </c>
    </row>
    <row r="44">
      <c r="A44" t="n">
        <v>2504</v>
      </c>
      <c r="B44" t="inlineStr">
        <is>
          <t>§3.6: Web Fetch</t>
        </is>
      </c>
      <c r="C44" t="inlineStr">
        <is>
          <t>F-0019</t>
        </is>
      </c>
      <c r="D44" t="inlineStr">
        <is>
          <t>grouped</t>
        </is>
      </c>
    </row>
    <row r="45">
      <c r="A45" t="n">
        <v>2509</v>
      </c>
      <c r="B45" t="inlineStr">
        <is>
          <t>§3.7a: Git Tools</t>
        </is>
      </c>
      <c r="C45" t="inlineStr">
        <is>
          <t>F-0099</t>
        </is>
      </c>
      <c r="D45" t="inlineStr">
        <is>
          <t>exact</t>
        </is>
      </c>
    </row>
    <row r="46">
      <c r="A46" t="n">
        <v>2514</v>
      </c>
      <c r="B46" t="inlineStr">
        <is>
          <t>§3.8: Tool Call Validation</t>
        </is>
      </c>
      <c r="C46" t="inlineStr">
        <is>
          <t>F-0100</t>
        </is>
      </c>
      <c r="D46" t="inlineStr">
        <is>
          <t>exact</t>
        </is>
      </c>
    </row>
    <row r="47">
      <c r="A47" t="n">
        <v>2519</v>
      </c>
      <c r="B47" t="inlineStr">
        <is>
          <t>§3.9: Tool Result Classification</t>
        </is>
      </c>
      <c r="C47" t="inlineStr">
        <is>
          <t>F-0101</t>
        </is>
      </c>
      <c r="D47" t="inlineStr">
        <is>
          <t>exact</t>
        </is>
      </c>
    </row>
    <row r="48">
      <c r="A48" t="n">
        <v>2524</v>
      </c>
      <c r="B48" t="inlineStr">
        <is>
          <t>§3.10: Tool Output Accumulator</t>
        </is>
      </c>
      <c r="C48" t="inlineStr">
        <is>
          <t>F-0102</t>
        </is>
      </c>
      <c r="D48" t="inlineStr">
        <is>
          <t>exact</t>
        </is>
      </c>
    </row>
    <row r="49">
      <c r="A49" t="n">
        <v>2529</v>
      </c>
      <c r="B49" t="inlineStr">
        <is>
          <t>§3.11: Tool Timeout / Budget</t>
        </is>
      </c>
      <c r="C49" t="inlineStr">
        <is>
          <t>F-0103</t>
        </is>
      </c>
      <c r="D49" t="inlineStr">
        <is>
          <t>exact</t>
        </is>
      </c>
    </row>
    <row r="50">
      <c r="A50" t="n">
        <v>2533</v>
      </c>
      <c r="B50" t="inlineStr">
        <is>
          <t>§3.12: Custom Locus Tools</t>
        </is>
      </c>
      <c r="C50" t="inlineStr">
        <is>
          <t>F-0104</t>
        </is>
      </c>
      <c r="D50" t="inlineStr">
        <is>
          <t>exact</t>
        </is>
      </c>
    </row>
    <row r="51">
      <c r="A51" t="n">
        <v>2540</v>
      </c>
      <c r="B51" t="inlineStr">
        <is>
          <t>§15.1: Web Search (8 Providers)</t>
        </is>
      </c>
      <c r="C51" t="inlineStr">
        <is>
          <t>F-0105</t>
        </is>
      </c>
      <c r="D51" t="inlineStr">
        <is>
          <t>exact</t>
        </is>
      </c>
    </row>
    <row r="52">
      <c r="A52" t="n">
        <v>2547</v>
      </c>
      <c r="B52" t="inlineStr">
        <is>
          <t>§24.1: Pi Utilities (Clipboard, Syntax Highlighting, Frontmatter, File Watcher)</t>
        </is>
      </c>
      <c r="C52" t="inlineStr">
        <is>
          <t>F-0106</t>
        </is>
      </c>
      <c r="D52" t="inlineStr">
        <is>
          <t>exact</t>
        </is>
      </c>
    </row>
    <row r="53">
      <c r="A53" t="n">
        <v>2556</v>
      </c>
      <c r="B53" t="inlineStr">
        <is>
          <t>§3.7 + §11.5: Coding Harness Delegation</t>
        </is>
      </c>
      <c r="C53" t="inlineStr">
        <is>
          <t>F-0020, F-0036</t>
        </is>
      </c>
      <c r="D53" t="inlineStr">
        <is>
          <t>grouped</t>
        </is>
      </c>
    </row>
    <row r="54">
      <c r="A54" t="n">
        <v>2664</v>
      </c>
      <c r="B54" t="inlineStr">
        <is>
          <t>§1.7 + §10.1: Post-Turn Background Review</t>
        </is>
      </c>
      <c r="C54" t="inlineStr">
        <is>
          <t>F-0007, F-0035</t>
        </is>
      </c>
      <c r="D54" t="inlineStr">
        <is>
          <t>grouped</t>
        </is>
      </c>
    </row>
    <row r="55">
      <c r="A55" t="n">
        <v>2734</v>
      </c>
      <c r="B55" t="inlineStr">
        <is>
          <t>§10.3: User Profile Building</t>
        </is>
      </c>
      <c r="C55" t="inlineStr">
        <is>
          <t>F-0035</t>
        </is>
      </c>
      <c r="D55" t="inlineStr">
        <is>
          <t>grouped</t>
        </is>
      </c>
    </row>
    <row r="56">
      <c r="A56" t="n">
        <v>2833</v>
      </c>
      <c r="B56" t="inlineStr">
        <is>
          <t>§13.1: Prompt Injection Protection</t>
        </is>
      </c>
      <c r="C56" t="inlineStr">
        <is>
          <t>F-0037</t>
        </is>
      </c>
      <c r="D56" t="inlineStr">
        <is>
          <t>exact</t>
        </is>
      </c>
    </row>
    <row r="57">
      <c r="A57" t="n">
        <v>2968</v>
      </c>
      <c r="B57" t="inlineStr">
        <is>
          <t>§13.2: File Safety</t>
        </is>
      </c>
      <c r="C57" t="inlineStr">
        <is>
          <t>F-0107</t>
        </is>
      </c>
      <c r="D57" t="inlineStr">
        <is>
          <t>exact</t>
        </is>
      </c>
    </row>
    <row r="58">
      <c r="A58" t="n">
        <v>2993</v>
      </c>
      <c r="B58" t="inlineStr">
        <is>
          <t>§13.3: Sandbox Backends</t>
        </is>
      </c>
      <c r="C58" t="inlineStr">
        <is>
          <t>F-0038</t>
        </is>
      </c>
      <c r="D58" t="inlineStr">
        <is>
          <t>exact</t>
        </is>
      </c>
    </row>
    <row r="59">
      <c r="A59" t="n">
        <v>3135</v>
      </c>
      <c r="B59" t="inlineStr">
        <is>
          <t>§13.4: Autonomy Tiers</t>
        </is>
      </c>
      <c r="C59" t="inlineStr">
        <is>
          <t>F-0108</t>
        </is>
      </c>
      <c r="D59" t="inlineStr">
        <is>
          <t>exact</t>
        </is>
      </c>
    </row>
    <row r="60">
      <c r="A60" t="n">
        <v>3160</v>
      </c>
      <c r="B60" t="inlineStr">
        <is>
          <t>§13.5: Approval Gate</t>
        </is>
      </c>
      <c r="C60" t="inlineStr">
        <is>
          <t>F-0109</t>
        </is>
      </c>
      <c r="D60" t="inlineStr">
        <is>
          <t>exact</t>
        </is>
      </c>
    </row>
    <row r="61">
      <c r="A61" t="n">
        <v>3193</v>
      </c>
      <c r="B61" t="inlineStr">
        <is>
          <t>§13.6: Project Trust</t>
        </is>
      </c>
      <c r="C61" t="inlineStr">
        <is>
          <t>F-0039</t>
        </is>
      </c>
      <c r="D61" t="inlineStr">
        <is>
          <t>exact</t>
        </is>
      </c>
    </row>
    <row r="62">
      <c r="A62" t="n">
        <v>3201</v>
      </c>
      <c r="B62" t="inlineStr">
        <is>
          <t>§13.7: Shell Blocklist</t>
        </is>
      </c>
      <c r="C62" t="inlineStr">
        <is>
          <t>F-0040</t>
        </is>
      </c>
      <c r="D62" t="inlineStr">
        <is>
          <t>exact</t>
        </is>
      </c>
    </row>
    <row r="63">
      <c r="A63" t="n">
        <v>3265</v>
      </c>
      <c r="B63" t="inlineStr">
        <is>
          <t>§13.8: Data Redaction</t>
        </is>
      </c>
      <c r="C63" t="inlineStr">
        <is>
          <t>F-0041</t>
        </is>
      </c>
      <c r="D63" t="inlineStr">
        <is>
          <t>exact</t>
        </is>
      </c>
    </row>
    <row r="64">
      <c r="A64" t="n">
        <v>3340</v>
      </c>
      <c r="B64" t="inlineStr">
        <is>
          <t>§13.9: Think Token Scrubbing</t>
        </is>
      </c>
      <c r="C64" t="inlineStr">
        <is>
          <t>F-0042</t>
        </is>
      </c>
      <c r="D64" t="inlineStr">
        <is>
          <t>exact</t>
        </is>
      </c>
    </row>
    <row r="65">
      <c r="A65" t="n">
        <v>3426</v>
      </c>
      <c r="B65" t="inlineStr">
        <is>
          <t>§13.10: Message Sanitization</t>
        </is>
      </c>
      <c r="C65" t="inlineStr">
        <is>
          <t>F-0043</t>
        </is>
      </c>
      <c r="D65" t="inlineStr">
        <is>
          <t>exact</t>
        </is>
      </c>
    </row>
    <row r="66">
      <c r="A66" t="n">
        <v>3498</v>
      </c>
      <c r="B66" t="inlineStr">
        <is>
          <t>§17.1-17.11: Channel Adapters &amp; Platform Registry</t>
        </is>
      </c>
      <c r="C66" t="inlineStr">
        <is>
          <t>F-0046</t>
        </is>
      </c>
      <c r="D66" t="inlineStr">
        <is>
          <t>exact</t>
        </is>
      </c>
    </row>
    <row r="67">
      <c r="A67" t="n">
        <v>3682</v>
      </c>
      <c r="B67" t="inlineStr">
        <is>
          <t>§17.10: Graceful Gateway Restart &amp; State Snapshotting</t>
        </is>
      </c>
      <c r="C67" t="inlineStr">
        <is>
          <t>F-0047</t>
        </is>
      </c>
      <c r="D67" t="inlineStr">
        <is>
          <t>exact</t>
        </is>
      </c>
    </row>
    <row r="68">
      <c r="A68" t="n">
        <v>3756</v>
      </c>
      <c r="B68" t="inlineStr">
        <is>
          <t>§4.16: Context Compression</t>
        </is>
      </c>
      <c r="C68" t="inlineStr">
        <is>
          <t>F-0110</t>
        </is>
      </c>
      <c r="D68" t="inlineStr">
        <is>
          <t>exact</t>
        </is>
      </c>
    </row>
    <row r="69">
      <c r="A69" t="n">
        <v>3860</v>
      </c>
      <c r="B69" t="inlineStr">
        <is>
          <t>§18.1-18.4: Model Context Protocol</t>
        </is>
      </c>
      <c r="C69" t="inlineStr">
        <is>
          <t>F-0048</t>
        </is>
      </c>
      <c r="D69" t="inlineStr">
        <is>
          <t>grouped</t>
        </is>
      </c>
    </row>
    <row r="70">
      <c r="A70" t="n">
        <v>4153</v>
      </c>
      <c r="B70" t="inlineStr">
        <is>
          <t>§18.5: Obsidian MCP (Vault Bridge)</t>
        </is>
      </c>
      <c r="C70" t="inlineStr">
        <is>
          <t>F-0048</t>
        </is>
      </c>
      <c r="D70" t="inlineStr">
        <is>
          <t>grouped</t>
        </is>
      </c>
    </row>
    <row r="71">
      <c r="A71" t="n">
        <v>4217</v>
      </c>
      <c r="B71" t="inlineStr">
        <is>
          <t>§12.1-12.5 + §26.1: Proactive Inner Loop &amp; Scheduling</t>
        </is>
      </c>
      <c r="C71" t="inlineStr">
        <is>
          <t>F-0058</t>
        </is>
      </c>
      <c r="D71" t="inlineStr">
        <is>
          <t>grouped</t>
        </is>
      </c>
    </row>
    <row r="72">
      <c r="A72" t="n">
        <v>4317</v>
      </c>
      <c r="B72" t="inlineStr">
        <is>
          <t>§14.1-14.4: Voice Pipeline</t>
        </is>
      </c>
      <c r="C72" t="inlineStr">
        <is>
          <t>F-0044</t>
        </is>
      </c>
      <c r="D72" t="inlineStr">
        <is>
          <t>grouped</t>
        </is>
      </c>
    </row>
    <row r="73">
      <c r="A73" t="n">
        <v>4384</v>
      </c>
      <c r="B73" t="inlineStr">
        <is>
          <t>§25.1: Four Factions Framework</t>
        </is>
      </c>
      <c r="C73" t="inlineStr">
        <is>
          <t>F-0055</t>
        </is>
      </c>
      <c r="D73" t="inlineStr">
        <is>
          <t>grouped</t>
        </is>
      </c>
    </row>
    <row r="74">
      <c r="A74" t="n">
        <v>4410</v>
      </c>
      <c r="B74" t="inlineStr">
        <is>
          <t>§25.2: Daily Capacity Score (DCS)</t>
        </is>
      </c>
      <c r="C74" t="inlineStr">
        <is>
          <t>F-0055</t>
        </is>
      </c>
      <c r="D74" t="inlineStr">
        <is>
          <t>grouped</t>
        </is>
      </c>
    </row>
    <row r="75">
      <c r="A75" t="n">
        <v>4433</v>
      </c>
      <c r="B75" t="inlineStr">
        <is>
          <t>§25.3: Five Operating Modes</t>
        </is>
      </c>
      <c r="C75" t="inlineStr">
        <is>
          <t>F-0055</t>
        </is>
      </c>
      <c r="D75" t="inlineStr">
        <is>
          <t>grouped</t>
        </is>
      </c>
    </row>
    <row r="76">
      <c r="A76" t="n">
        <v>4455</v>
      </c>
      <c r="B76" t="inlineStr">
        <is>
          <t>§25.4: Task Weight Score (TWS)</t>
        </is>
      </c>
      <c r="C76" t="inlineStr">
        <is>
          <t>F-0055</t>
        </is>
      </c>
      <c r="D76" t="inlineStr">
        <is>
          <t>grouped</t>
        </is>
      </c>
    </row>
    <row r="77">
      <c r="A77" t="n">
        <v>4482</v>
      </c>
      <c r="B77" t="inlineStr">
        <is>
          <t>§25.5: Three-Layer Goal Stack</t>
        </is>
      </c>
      <c r="C77" t="inlineStr">
        <is>
          <t>F-0056</t>
        </is>
      </c>
      <c r="D77" t="inlineStr">
        <is>
          <t>low-confidence</t>
        </is>
      </c>
    </row>
    <row r="78">
      <c r="A78" t="n">
        <v>4506</v>
      </c>
      <c r="B78" t="inlineStr">
        <is>
          <t>§25.6: Action Gap Tracking</t>
        </is>
      </c>
      <c r="C78" t="inlineStr">
        <is>
          <t>F-0056</t>
        </is>
      </c>
      <c r="D78" t="inlineStr">
        <is>
          <t>low-confidence</t>
        </is>
      </c>
    </row>
    <row r="79">
      <c r="A79" t="n">
        <v>4525</v>
      </c>
      <c r="B79" t="inlineStr">
        <is>
          <t>§25.7: Deferral Detection (3/5/8+)</t>
        </is>
      </c>
      <c r="C79" t="inlineStr">
        <is>
          <t>F-0056</t>
        </is>
      </c>
      <c r="D79" t="inlineStr">
        <is>
          <t>low-confidence</t>
        </is>
      </c>
    </row>
    <row r="80">
      <c r="A80" t="n">
        <v>4546</v>
      </c>
      <c r="B80" t="inlineStr">
        <is>
          <t>§25.8: Lag Score + TWS Lag Bonus</t>
        </is>
      </c>
      <c r="C80" t="inlineStr">
        <is>
          <t>F-0056</t>
        </is>
      </c>
      <c r="D80" t="inlineStr">
        <is>
          <t>low-confidence</t>
        </is>
      </c>
    </row>
    <row r="81">
      <c r="A81" t="n">
        <v>4567</v>
      </c>
      <c r="B81" t="inlineStr">
        <is>
          <t>§25.9: Emergency Task Injection</t>
        </is>
      </c>
      <c r="C81" t="inlineStr">
        <is>
          <t>F-0111</t>
        </is>
      </c>
      <c r="D81" t="inlineStr">
        <is>
          <t>exact</t>
        </is>
      </c>
    </row>
    <row r="82">
      <c r="A82" t="n">
        <v>4586</v>
      </c>
      <c r="B82" t="inlineStr">
        <is>
          <t>§25.10: Exhaustion Predictor</t>
        </is>
      </c>
      <c r="C82" t="inlineStr">
        <is>
          <t>F-0112</t>
        </is>
      </c>
      <c r="D82" t="inlineStr">
        <is>
          <t>exact</t>
        </is>
      </c>
    </row>
    <row r="83">
      <c r="A83" t="n">
        <v>4605</v>
      </c>
      <c r="B83" t="inlineStr">
        <is>
          <t>§25.11: Weekly Faction Rebalance</t>
        </is>
      </c>
      <c r="C83" t="inlineStr">
        <is>
          <t>F-0113</t>
        </is>
      </c>
      <c r="D83" t="inlineStr">
        <is>
          <t>exact</t>
        </is>
      </c>
    </row>
    <row r="84">
      <c r="A84" t="n">
        <v>4628</v>
      </c>
      <c r="B84" t="inlineStr">
        <is>
          <t>§25.12: Six-Step Scheduling Algorithm (Full Mathematical Specification)</t>
        </is>
      </c>
      <c r="C84" t="inlineStr">
        <is>
          <t>F-0057</t>
        </is>
      </c>
      <c r="D84" t="inlineStr">
        <is>
          <t>low-confidence</t>
        </is>
      </c>
    </row>
    <row r="85">
      <c r="A85" t="n">
        <v>4710</v>
      </c>
      <c r="B85" t="inlineStr">
        <is>
          <t>§25.13: Review Cadence System</t>
        </is>
      </c>
      <c r="C85" t="inlineStr">
        <is>
          <t>F-0114</t>
        </is>
      </c>
      <c r="D85" t="inlineStr">
        <is>
          <t>exact</t>
        </is>
      </c>
    </row>
    <row r="86">
      <c r="A86" t="n">
        <v>4724</v>
      </c>
      <c r="B86" t="inlineStr">
        <is>
          <t>§25.14: Goal Stack Enforcement</t>
        </is>
      </c>
      <c r="C86" t="inlineStr">
        <is>
          <t>F-0115</t>
        </is>
      </c>
      <c r="D86" t="inlineStr">
        <is>
          <t>exact</t>
        </is>
      </c>
    </row>
    <row r="87">
      <c r="A87" t="n">
        <v>4737</v>
      </c>
      <c r="B87" t="inlineStr">
        <is>
          <t>§25.15: Cross-Faction Efficiency</t>
        </is>
      </c>
      <c r="C87" t="inlineStr">
        <is>
          <t>F-0116</t>
        </is>
      </c>
      <c r="D87" t="inlineStr">
        <is>
          <t>exact</t>
        </is>
      </c>
    </row>
    <row r="88">
      <c r="A88" t="n">
        <v>4750</v>
      </c>
      <c r="B88" t="inlineStr">
        <is>
          <t>§25.16: Four-Level Emergency Protocol</t>
        </is>
      </c>
      <c r="C88" t="inlineStr">
        <is>
          <t>F-0117</t>
        </is>
      </c>
      <c r="D88" t="inlineStr">
        <is>
          <t>exact</t>
        </is>
      </c>
    </row>
    <row r="89">
      <c r="A89" t="n">
        <v>4768</v>
      </c>
      <c r="B89" t="inlineStr">
        <is>
          <t>§26.1: Inner Loop (Proactive Thinker — 10-Step Execution Pipeline)</t>
        </is>
      </c>
      <c r="C89" t="inlineStr">
        <is>
          <t>F-0058</t>
        </is>
      </c>
      <c r="D89" t="inlineStr">
        <is>
          <t>grouped</t>
        </is>
      </c>
    </row>
    <row r="90">
      <c r="A90" t="n">
        <v>4837</v>
      </c>
      <c r="B90" t="inlineStr">
        <is>
          <t>§26.2: State Engine + Inferred Cause Chain</t>
        </is>
      </c>
      <c r="C90" t="inlineStr">
        <is>
          <t>F-0058</t>
        </is>
      </c>
      <c r="D90" t="inlineStr">
        <is>
          <t>grouped</t>
        </is>
      </c>
    </row>
    <row r="91">
      <c r="A91" t="n">
        <v>4901</v>
      </c>
      <c r="B91" t="inlineStr">
        <is>
          <t>§26.3: Multi-Horizon Pattern Engine</t>
        </is>
      </c>
      <c r="C91" t="inlineStr">
        <is>
          <t>F-0058</t>
        </is>
      </c>
      <c r="D91" t="inlineStr">
        <is>
          <t>grouped</t>
        </is>
      </c>
    </row>
    <row r="92">
      <c r="A92" t="n">
        <v>4950</v>
      </c>
      <c r="B92" t="inlineStr">
        <is>
          <t>§26.7: Weekly Full Vault Synthesis</t>
        </is>
      </c>
      <c r="C92" t="inlineStr">
        <is>
          <t>F-0058</t>
        </is>
      </c>
      <c r="D92" t="inlineStr">
        <is>
          <t>grouped</t>
        </is>
      </c>
    </row>
    <row r="93">
      <c r="A93" t="n">
        <v>5066</v>
      </c>
      <c r="B93" t="inlineStr">
        <is>
          <t>§4.18: Memory Provider Interface</t>
        </is>
      </c>
      <c r="C93" t="inlineStr">
        <is>
          <t>F-0118</t>
        </is>
      </c>
      <c r="D93" t="inlineStr">
        <is>
          <t>exact</t>
        </is>
      </c>
    </row>
    <row r="94">
      <c r="A94" t="n">
        <v>5141</v>
      </c>
      <c r="B94" t="inlineStr">
        <is>
          <t>§19.2: Trajectory Recording</t>
        </is>
      </c>
      <c r="C94" t="inlineStr">
        <is>
          <t>F-0049</t>
        </is>
      </c>
      <c r="D94" t="inlineStr">
        <is>
          <t>exact</t>
        </is>
      </c>
    </row>
    <row r="95">
      <c r="A95" t="n">
        <v>5200</v>
      </c>
      <c r="B95" t="inlineStr">
        <is>
          <t>§19.3: Daily AI Chat Archiver (Multi-Platform Ingestion)</t>
        </is>
      </c>
      <c r="C95" t="inlineStr">
        <is>
          <t>F-0050</t>
        </is>
      </c>
      <c r="D95" t="inlineStr">
        <is>
          <t>exact</t>
        </is>
      </c>
    </row>
    <row r="96">
      <c r="A96" t="n">
        <v>5266</v>
      </c>
      <c r="B96" t="inlineStr">
        <is>
          <t>§8.1-8.10: CLI Commands</t>
        </is>
      </c>
      <c r="C96" t="inlineStr">
        <is>
          <t>F-0031</t>
        </is>
      </c>
      <c r="D96" t="inlineStr">
        <is>
          <t>grouped</t>
        </is>
      </c>
    </row>
    <row r="97">
      <c r="A97" t="n">
        <v>5388</v>
      </c>
      <c r="B97" t="inlineStr">
        <is>
          <t>§5.1-5.8: Session Management &amp; Telegram Bridge</t>
        </is>
      </c>
      <c r="C97" t="inlineStr">
        <is>
          <t>F-0027</t>
        </is>
      </c>
      <c r="D97" t="inlineStr">
        <is>
          <t>grouped</t>
        </is>
      </c>
    </row>
    <row r="98">
      <c r="A98" t="n">
        <v>5463</v>
      </c>
      <c r="B98" t="inlineStr">
        <is>
          <t>§7.1-7.9: Terminal Interface &amp; Footer Widget</t>
        </is>
      </c>
      <c r="C98" t="inlineStr">
        <is>
          <t>F-0030</t>
        </is>
      </c>
      <c r="D98" t="inlineStr">
        <is>
          <t>grouped</t>
        </is>
      </c>
    </row>
    <row r="99">
      <c r="A99" t="n">
        <v>5531</v>
      </c>
      <c r="B99" t="inlineStr">
        <is>
          <t>§9.1: Extension System &amp; Event Lifecycle (25+ Events)</t>
        </is>
      </c>
      <c r="C99" t="inlineStr">
        <is>
          <t>F-0032</t>
        </is>
      </c>
      <c r="D99" t="inlineStr">
        <is>
          <t>exact</t>
        </is>
      </c>
    </row>
    <row r="100">
      <c r="A100" t="n">
        <v>5572</v>
      </c>
      <c r="B100" t="inlineStr">
        <is>
          <t>§9.2: Skill System &amp; Multi-Source Marketplace</t>
        </is>
      </c>
      <c r="C100" t="inlineStr">
        <is>
          <t>F-0119</t>
        </is>
      </c>
      <c r="D100" t="inlineStr">
        <is>
          <t>exact</t>
        </is>
      </c>
    </row>
    <row r="101">
      <c r="A101" t="n">
        <v>5629</v>
      </c>
      <c r="B101" t="inlineStr">
        <is>
          <t>§9.4: Agent Communication Protocol (ACP Client &amp; Transport)</t>
        </is>
      </c>
      <c r="C101" t="inlineStr">
        <is>
          <t>F-0033</t>
        </is>
      </c>
      <c r="D101" t="inlineStr">
        <is>
          <t>exact</t>
        </is>
      </c>
    </row>
    <row r="102">
      <c r="A102" t="n">
        <v>5715</v>
      </c>
      <c r="B102" t="inlineStr">
        <is>
          <t>§9.9: Plugin LLM Sandboxing &amp; Auxiliary Bridge</t>
        </is>
      </c>
      <c r="C102" t="inlineStr">
        <is>
          <t>F-0034</t>
        </is>
      </c>
      <c r="D102" t="inlineStr">
        <is>
          <t>exact</t>
        </is>
      </c>
    </row>
    <row r="103">
      <c r="A103" t="n">
        <v>5774</v>
      </c>
      <c r="B103" t="inlineStr">
        <is>
          <t>§10.5: Personal Reward Model</t>
        </is>
      </c>
      <c r="C103" t="inlineStr">
        <is>
          <t>F-0035</t>
        </is>
      </c>
      <c r="D103" t="inlineStr">
        <is>
          <t>grouped</t>
        </is>
      </c>
    </row>
    <row r="104">
      <c r="A104" t="n">
        <v>5824</v>
      </c>
      <c r="B104" t="inlineStr">
        <is>
          <t>§10.6-10.7: Hebbian Learning &amp; Pattern Engine</t>
        </is>
      </c>
      <c r="C104" t="inlineStr">
        <is>
          <t>F-0035</t>
        </is>
      </c>
      <c r="D104" t="inlineStr">
        <is>
          <t>grouped</t>
        </is>
      </c>
    </row>
    <row r="105">
      <c r="A105" t="n">
        <v>5878</v>
      </c>
      <c r="B105" t="inlineStr">
        <is>
          <t>§10.8: Self-Evolving Architect Bot</t>
        </is>
      </c>
      <c r="C105" t="inlineStr">
        <is>
          <t>F-0120</t>
        </is>
      </c>
      <c r="D105" t="inlineStr">
        <is>
          <t>exact</t>
        </is>
      </c>
    </row>
    <row r="106">
      <c r="A106" t="n">
        <v>5928</v>
      </c>
      <c r="B106" t="inlineStr">
        <is>
          <t>§10.9: Agent Experience Tracking (Procedural Memory)</t>
        </is>
      </c>
      <c r="C106" t="inlineStr">
        <is>
          <t>F-0121</t>
        </is>
      </c>
      <c r="D106" t="inlineStr">
        <is>
          <t>exact</t>
        </is>
      </c>
    </row>
    <row r="107">
      <c r="A107" t="n">
        <v>6005</v>
      </c>
      <c r="B107" t="inlineStr">
        <is>
          <t>§11.1-11.5: Subagent Spawning, Archetypes, Depth Limiting</t>
        </is>
      </c>
      <c r="C107" t="inlineStr">
        <is>
          <t>F-0036</t>
        </is>
      </c>
      <c r="D107" t="inlineStr">
        <is>
          <t>grouped</t>
        </is>
      </c>
    </row>
    <row r="108">
      <c r="A108" t="n">
        <v>6068</v>
      </c>
      <c r="B108" t="inlineStr">
        <is>
          <t>§16.1-16.2 + §20.1-20.3: Browser Automation &amp; Desktop Control</t>
        </is>
      </c>
      <c r="C108" t="inlineStr">
        <is>
          <t>F-0045, F-0051</t>
        </is>
      </c>
      <c r="D108" t="inlineStr">
        <is>
          <t>low-confidence</t>
        </is>
      </c>
    </row>
    <row r="109">
      <c r="A109" t="n">
        <v>6127</v>
      </c>
      <c r="B109" t="inlineStr">
        <is>
          <t>§20.3: VNC / Remote Desktop Protocol Control</t>
        </is>
      </c>
      <c r="C109" t="inlineStr">
        <is>
          <t>F-0052</t>
        </is>
      </c>
      <c r="D109" t="inlineStr">
        <is>
          <t>exact</t>
        </is>
      </c>
    </row>
    <row r="110">
      <c r="A110" t="n">
        <v>6196</v>
      </c>
      <c r="B110" t="inlineStr">
        <is>
          <t>§21.1-21.3: Google Calendar, Gmail, Webhooks</t>
        </is>
      </c>
      <c r="C110" t="inlineStr">
        <is>
          <t>F-0053</t>
        </is>
      </c>
      <c r="D110" t="inlineStr">
        <is>
          <t>exact</t>
        </is>
      </c>
    </row>
    <row r="111">
      <c r="A111" t="n">
        <v>6253</v>
      </c>
      <c r="B111" t="inlineStr">
        <is>
          <t>§27.2: Obsidian Self-Hosted LiveSync &amp; CouchDB Real-Time Sync Engine</t>
        </is>
      </c>
      <c r="C111" t="inlineStr">
        <is>
          <t>F-0060</t>
        </is>
      </c>
      <c r="D111" t="inlineStr">
        <is>
          <t>exact</t>
        </is>
      </c>
    </row>
    <row r="112">
      <c r="A112" t="n">
        <v>6687</v>
      </c>
      <c r="B112" t="inlineStr">
        <is>
          <t>§27.3: LOCUS_SHORTHAND 4× Text Compressor</t>
        </is>
      </c>
      <c r="C112" t="inlineStr">
        <is>
          <t>F-0122</t>
        </is>
      </c>
      <c r="D112" t="inlineStr">
        <is>
          <t>exact</t>
        </is>
      </c>
    </row>
    <row r="113">
      <c r="A113" t="n">
        <v>6724</v>
      </c>
      <c r="B113" t="inlineStr">
        <is>
          <t>§27.4: 3-Level Tag Hierarchy &amp; Semantic Indexing</t>
        </is>
      </c>
      <c r="C113" t="inlineStr">
        <is>
          <t>F-0123</t>
        </is>
      </c>
      <c r="D113" t="inlineStr">
        <is>
          <t>exact</t>
        </is>
      </c>
    </row>
    <row r="114">
      <c r="A114" t="n">
        <v>6764</v>
      </c>
      <c r="B114" t="inlineStr">
        <is>
          <t>§27.5: Rough Note Parser &amp; Idea Tracker</t>
        </is>
      </c>
      <c r="C114" t="inlineStr">
        <is>
          <t>F-0061</t>
        </is>
      </c>
      <c r="D114" t="inlineStr">
        <is>
          <t>exact</t>
        </is>
      </c>
    </row>
    <row r="115">
      <c r="A115" t="n">
        <v>6826</v>
      </c>
      <c r="B115" t="inlineStr">
        <is>
          <t>§27.6: Link Dump &amp; Web Resource Logger</t>
        </is>
      </c>
      <c r="C115" t="inlineStr">
        <is>
          <t>F-0062</t>
        </is>
      </c>
      <c r="D115" t="inlineStr">
        <is>
          <t>exact</t>
        </is>
      </c>
    </row>
    <row r="116">
      <c r="A116" t="n">
        <v>6877</v>
      </c>
      <c r="B116" t="inlineStr">
        <is>
          <t>§27.7: Excalidraw MCP Skill (Visual Architecture Diagrams)</t>
        </is>
      </c>
      <c r="C116" t="inlineStr">
        <is>
          <t>F-0063</t>
        </is>
      </c>
      <c r="D116" t="inlineStr">
        <is>
          <t>exact</t>
        </is>
      </c>
    </row>
    <row r="117">
      <c r="A117" t="n">
        <v>6953</v>
      </c>
      <c r="B117" t="inlineStr">
        <is>
          <t>§28.1-28.6: Dual-Interface, Check-ins, Voice, Cost Model</t>
        </is>
      </c>
      <c r="C117" t="inlineStr">
        <is>
          <t>F-0064</t>
        </is>
      </c>
      <c r="D117" t="inlineStr">
        <is>
          <t>grouped</t>
        </is>
      </c>
    </row>
    <row r="118">
      <c r="A118" t="n">
        <v>7007</v>
      </c>
      <c r="B118" t="inlineStr">
        <is>
          <t>§29.1: Error Classifier</t>
        </is>
      </c>
      <c r="C118" t="inlineStr">
        <is>
          <t>F-0065</t>
        </is>
      </c>
      <c r="D118" t="inlineStr">
        <is>
          <t>exact</t>
        </is>
      </c>
    </row>
    <row r="119">
      <c r="A119" t="n">
        <v>7044</v>
      </c>
      <c r="B119" t="inlineStr">
        <is>
          <t>§29.2: Auxiliary LLM Client</t>
        </is>
      </c>
      <c r="C119" t="inlineStr">
        <is>
          <t>F-0124</t>
        </is>
      </c>
      <c r="D119" t="inlineStr">
        <is>
          <t>exact</t>
        </is>
      </c>
    </row>
    <row r="120">
      <c r="A120" t="n">
        <v>7073</v>
      </c>
      <c r="B120" t="inlineStr">
        <is>
          <t>§29.3: Health Checks</t>
        </is>
      </c>
      <c r="C120" t="inlineStr">
        <is>
          <t>F-0066</t>
        </is>
      </c>
      <c r="D120" t="inlineStr">
        <is>
          <t>exact</t>
        </is>
      </c>
    </row>
    <row r="121">
      <c r="A121" t="n">
        <v>7103</v>
      </c>
      <c r="B121" t="inlineStr">
        <is>
          <t>§29.4: Notifications</t>
        </is>
      </c>
      <c r="C121" t="inlineStr">
        <is>
          <t>F-0067</t>
        </is>
      </c>
      <c r="D121" t="inlineStr">
        <is>
          <t>exact</t>
        </is>
      </c>
    </row>
    <row r="122">
      <c r="A122" t="n">
        <v>7185</v>
      </c>
      <c r="B122" t="inlineStr">
        <is>
          <t>§29.5: Connectivity Check</t>
        </is>
      </c>
      <c r="C122" t="inlineStr">
        <is>
          <t>F-0068</t>
        </is>
      </c>
      <c r="D122" t="inlineStr">
        <is>
          <t>exact</t>
        </is>
      </c>
    </row>
    <row r="123">
      <c r="A123" t="n">
        <v>7244</v>
      </c>
      <c r="B123" t="inlineStr">
        <is>
          <t>§29.6: Code Graph Analysis</t>
        </is>
      </c>
      <c r="C123" t="inlineStr">
        <is>
          <t>F-0069</t>
        </is>
      </c>
      <c r="D123" t="inlineStr">
        <is>
          <t>exact</t>
        </is>
      </c>
    </row>
    <row r="124">
      <c r="A124" t="n">
        <v>7318</v>
      </c>
      <c r="B124" t="inlineStr">
        <is>
          <t>§29.7: Subconscious Background Processing</t>
        </is>
      </c>
      <c r="C124" t="inlineStr">
        <is>
          <t>F-0070</t>
        </is>
      </c>
      <c r="D124" t="inlineStr">
        <is>
          <t>exact</t>
        </is>
      </c>
    </row>
    <row r="125">
      <c r="A125" t="n">
        <v>7402</v>
      </c>
      <c r="B125" t="inlineStr">
        <is>
          <t>§29.8: Workflows</t>
        </is>
      </c>
      <c r="C125" t="inlineStr">
        <is>
          <t>F-0071</t>
        </is>
      </c>
      <c r="D125" t="inlineStr">
        <is>
          <t>exact</t>
        </is>
      </c>
    </row>
    <row r="126">
      <c r="A126" t="n">
        <v>7527</v>
      </c>
      <c r="B126" t="inlineStr">
        <is>
          <t>§30.1: Collector + Chunker (Ingestion Pipeline)</t>
        </is>
      </c>
      <c r="C126" t="inlineStr">
        <is>
          <t>F-0072</t>
        </is>
      </c>
      <c r="D126" t="inlineStr">
        <is>
          <t>exact</t>
        </is>
      </c>
    </row>
    <row r="127">
      <c r="A127" t="n">
        <v>7580</v>
      </c>
      <c r="B127" t="inlineStr">
        <is>
          <t>§30.2: Cause Chain Engine (Inferred Causation)</t>
        </is>
      </c>
      <c r="C127" t="inlineStr">
        <is>
          <t>F-0073</t>
        </is>
      </c>
      <c r="D127" t="inlineStr">
        <is>
          <t>exact</t>
        </is>
      </c>
    </row>
    <row r="128">
      <c r="A128" t="n">
        <v>7619</v>
      </c>
      <c r="B128" t="inlineStr">
        <is>
          <t>§30.3: SOUL.md / Wants Engine (Personality Layer)</t>
        </is>
      </c>
      <c r="C128" t="inlineStr">
        <is>
          <t>F-0074</t>
        </is>
      </c>
      <c r="D128" t="inlineStr">
        <is>
          <t>exact</t>
        </is>
      </c>
    </row>
    <row r="129">
      <c r="A129" t="n">
        <v>7651</v>
      </c>
      <c r="B129" t="inlineStr">
        <is>
          <t>§30.4: Content Engine (8-Step Social &amp; Thought Publication Pipeline)</t>
        </is>
      </c>
      <c r="C129" t="inlineStr">
        <is>
          <t>F-0075</t>
        </is>
      </c>
      <c r="D129" t="inlineStr">
        <is>
          <t>low-confidence</t>
        </is>
      </c>
    </row>
    <row r="130">
      <c r="A130" t="n">
        <v>7721</v>
      </c>
      <c r="B130" t="inlineStr">
        <is>
          <t>§30.5: Spaced Repetition Engine</t>
        </is>
      </c>
      <c r="C130" t="inlineStr">
        <is>
          <t>F-0076</t>
        </is>
      </c>
      <c r="D130" t="inlineStr">
        <is>
          <t>exact</t>
        </is>
      </c>
    </row>
    <row r="131">
      <c r="A131" t="n">
        <v>7750</v>
      </c>
      <c r="B131" t="inlineStr">
        <is>
          <t>§30.6: QLoRA Fine-Tuning Pipeline</t>
        </is>
      </c>
      <c r="C131" t="inlineStr">
        <is>
          <t>F-0077</t>
        </is>
      </c>
      <c r="D131" t="inlineStr">
        <is>
          <t>exact</t>
        </is>
      </c>
    </row>
    <row r="132">
      <c r="A132" t="n">
        <v>7783</v>
      </c>
      <c r="B132" t="inlineStr">
        <is>
          <t>§30.7: Master Conductor (11-Step Ingress-to-Egress Pipeline)</t>
        </is>
      </c>
      <c r="C132" t="inlineStr">
        <is>
          <t>F-0078</t>
        </is>
      </c>
      <c r="D132" t="inlineStr">
        <is>
          <t>exact</t>
        </is>
      </c>
    </row>
    <row r="133">
      <c r="A133" t="n">
        <v>7861</v>
      </c>
      <c r="B133" t="inlineStr">
        <is>
          <t>§30.8: Real-Time Dashboard &amp; TUI Specification (6-Step Architecture)</t>
        </is>
      </c>
      <c r="C133" t="inlineStr">
        <is>
          <t>F-0079</t>
        </is>
      </c>
      <c r="D133" t="inlineStr">
        <is>
          <t>exact</t>
        </is>
      </c>
    </row>
    <row r="134">
      <c r="A134" t="n">
        <v>7914</v>
      </c>
      <c r="B134" t="inlineStr">
        <is>
          <t>§30.9: Redis High-Performance State &amp; Pub/Sub Integration</t>
        </is>
      </c>
      <c r="C134" t="inlineStr">
        <is>
          <t>F-0080</t>
        </is>
      </c>
      <c r="D134" t="inlineStr">
        <is>
          <t>exact</t>
        </is>
      </c>
    </row>
    <row r="135">
      <c r="A135" t="n">
        <v>7960</v>
      </c>
      <c r="B135" t="inlineStr">
        <is>
          <t>§30.10: Obsidian &amp; LightRAG Dual-Index Knowledge Bridge</t>
        </is>
      </c>
      <c r="C135" t="inlineStr">
        <is>
          <t>F-0081</t>
        </is>
      </c>
      <c r="D135" t="inlineStr">
        <is>
          <t>exact</t>
        </is>
      </c>
    </row>
    <row r="136">
      <c r="A136" t="n">
        <v>8012</v>
      </c>
      <c r="B136" t="inlineStr">
        <is>
          <t>§23.1-23.5: Tests, Docker, Batch Runner</t>
        </is>
      </c>
      <c r="C136" t="inlineStr">
        <is>
          <t>F-0054</t>
        </is>
      </c>
      <c r="D136" t="inlineStr">
        <is>
          <t>grouped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grid_sha</t>
        </is>
      </c>
      <c r="B1" t="inlineStr">
        <is>
          <t>9bfdb2ad105f0d2eaea412c547b56ac0ff937045d72305b9607f584acecb8161</t>
        </is>
      </c>
    </row>
    <row r="2">
      <c r="A2" t="inlineStr">
        <is>
          <t>status_sha</t>
        </is>
      </c>
      <c r="B2" t="inlineStr">
        <is>
          <t>5acf3d8f6492ab2b28fbc1c9953ab285f441b210a81022f0f4e7b124df212e07</t>
        </is>
      </c>
    </row>
    <row r="3">
      <c r="A3" t="inlineStr">
        <is>
          <t>commit</t>
        </is>
      </c>
      <c r="B3" t="inlineStr">
        <is>
          <t>4c0b14e7a05245b322cdc0c60b086200a73799af</t>
        </is>
      </c>
    </row>
    <row r="4">
      <c r="A4" t="inlineStr">
        <is>
          <t>generated_at</t>
        </is>
      </c>
      <c r="B4" t="inlineStr">
        <is>
          <t>2026-10-14T17:01:43+0530</t>
        </is>
      </c>
    </row>
    <row r="5">
      <c r="A5" t="inlineStr">
        <is>
          <t>note</t>
        </is>
      </c>
      <c r="B5" t="inlineStr">
        <is>
          <t>generated by tools/tracker/export_xlsx.py - hand edits are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2026-10-14T11:31:51Z</dcterms:created>
  <dcterms:modified xmlns:dcterms="http://purl.org/dc/terms/" xmlns:xsi="http://www.w3.org/2001/XMLSchema-instance" xsi:type="dcterms:W3CDTF">2026-10-14T11:31:51Z</dcterms:modified>
</cp:coreProperties>
</file>